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documenttasks/documenttask1.xml" ContentType="application/vnd.ms-excel.documenttask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LAB/"/>
    </mc:Choice>
  </mc:AlternateContent>
  <xr:revisionPtr revIDLastSave="1230" documentId="8_{0119FDB3-940D-4E94-B4A6-1EDC369BD82C}" xr6:coauthVersionLast="47" xr6:coauthVersionMax="47" xr10:uidLastSave="{32DC8377-7C59-4A54-8D6C-9767948BF1FB}"/>
  <bookViews>
    <workbookView xWindow="9510" yWindow="-90" windowWidth="19380" windowHeight="10260" tabRatio="921" activeTab="11" xr2:uid="{00000000-000D-0000-FFFF-FFFF00000000}"/>
  </bookViews>
  <sheets>
    <sheet name="Mod List" sheetId="23" r:id="rId1"/>
    <sheet name="Uni Wide Mod" sheetId="25" r:id="rId2"/>
    <sheet name="Module" sheetId="2" r:id="rId3"/>
    <sheet name="ASE" sheetId="31" r:id="rId4"/>
    <sheet name="DSC" sheetId="30" r:id="rId5"/>
    <sheet name="EPE" sheetId="27" r:id="rId6"/>
    <sheet name="EDE" sheetId="33" r:id="rId7"/>
    <sheet name="CVE" sheetId="34" r:id="rId8"/>
    <sheet name="MEC" sheetId="36" r:id="rId9"/>
    <sheet name="MSc" sheetId="29" r:id="rId10"/>
    <sheet name="RSE" sheetId="38" r:id="rId11"/>
    <sheet name="METS" sheetId="37" r:id="rId12"/>
    <sheet name="SBE" sheetId="28" r:id="rId13"/>
    <sheet name="MDME" sheetId="32" r:id="rId14"/>
    <sheet name="NAME" sheetId="35" r:id="rId15"/>
    <sheet name="ENG" sheetId="39" r:id="rId16"/>
    <sheet name="CSM" sheetId="41" r:id="rId17"/>
    <sheet name="ESE" sheetId="40" r:id="rId18"/>
    <sheet name="Sheet1" sheetId="6" state="hidden" r:id="rId19"/>
    <sheet name="Sample" sheetId="10" r:id="rId20"/>
  </sheets>
  <definedNames>
    <definedName name="_xlnm._FilterDatabase" localSheetId="7" hidden="1">CVE!$A$2:$Q$138</definedName>
    <definedName name="_xlnm._FilterDatabase" localSheetId="6" hidden="1">EDE!$A$2:$S$155</definedName>
    <definedName name="_xlnm._FilterDatabase" localSheetId="15" hidden="1">ENG!$A$2:$Q$86</definedName>
    <definedName name="_xlnm._FilterDatabase" localSheetId="5" hidden="1">EPE!$A$2:$Q$125</definedName>
    <definedName name="_xlnm._FilterDatabase" localSheetId="13" hidden="1">MDME!$A$2:$Q$132</definedName>
    <definedName name="_xlnm._FilterDatabase" localSheetId="8" hidden="1">MEC!$A$2:$U$125</definedName>
    <definedName name="_xlnm._FilterDatabase" localSheetId="11" hidden="1">METS!$A$2:$Q$35</definedName>
    <definedName name="_xlnm._FilterDatabase" localSheetId="0" hidden="1">'Mod List'!$J$1:$O$199</definedName>
    <definedName name="_xlnm._FilterDatabase" localSheetId="14" hidden="1">NAME!$A$2:$Q$104</definedName>
    <definedName name="_xlnm._FilterDatabase" localSheetId="10" hidden="1">RSE!$A$2:$Q$49</definedName>
    <definedName name="_xlnm._FilterDatabase" localSheetId="12" hidden="1">SBE!$A$2:$Q$148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40" l="1"/>
  <c r="D26" i="36" l="1"/>
  <c r="J1" i="35"/>
  <c r="I1" i="35"/>
  <c r="D6" i="32"/>
  <c r="D5" i="32"/>
  <c r="D4" i="32"/>
  <c r="D3" i="32"/>
  <c r="D16" i="27"/>
  <c r="D13" i="27"/>
  <c r="D16" i="34"/>
  <c r="D15" i="34"/>
  <c r="D14" i="34"/>
  <c r="D11" i="34"/>
  <c r="D10" i="34"/>
  <c r="D9" i="34"/>
  <c r="E17" i="33"/>
  <c r="E16" i="33"/>
  <c r="E14" i="33"/>
  <c r="E13" i="33"/>
  <c r="E12" i="33"/>
  <c r="E11" i="33"/>
  <c r="E9" i="33"/>
  <c r="E8" i="33"/>
  <c r="G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tc={A85940E6-98D8-4EAA-B174-D86924038FC5}</author>
    <author>tc={E36808B3-1D51-4C26-AB8B-39947741D415}</author>
    <author>tc={246852B2-5DF6-4ADB-8997-A17F5F8B06F2}</author>
    <author>tc={A69AE404-4836-4BAF-AC09-D2EAF8F90531}</author>
    <author>tc={C923ACB5-E8D1-4F79-8C61-FF656D807555}</author>
    <author>tc={82207F91-95B6-49D3-BD6A-D594997D9349}</author>
  </authors>
  <commentList>
    <comment ref="E3" authorId="0" shapeId="0" xr:uid="{A85940E6-98D8-4EAA-B174-D86924038FC5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to Fri due to Staff Clash</t>
      </text>
    </comment>
    <comment ref="E4" authorId="1" shapeId="0" xr:uid="{E36808B3-1D51-4C26-AB8B-39947741D415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H4" authorId="2" shapeId="0" xr:uid="{246852B2-5DF6-4ADB-8997-A17F5F8B06F2}">
      <text>
        <t>[Threaded comment]
Your version of Excel allows you to read this threaded comment; however, any edits to it will get removed if the file is opened in a newer version of Excel. Learn more: https://go.microsoft.com/fwlink/?linkid=870924
Comment:
    Clash with UCS, can change to Can change to Wk 11, 2pm?</t>
      </text>
    </comment>
    <comment ref="E5" authorId="3" shapeId="0" xr:uid="{A69AE404-4836-4BAF-AC09-D2EAF8F90531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5" authorId="4" shapeId="0" xr:uid="{C923ACB5-E8D1-4F79-8C61-FF656D807555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
Reply:
    Sorry this should be 9 AM instead of 1 PM</t>
      </text>
    </comment>
    <comment ref="H5" authorId="5" shapeId="0" xr:uid="{82207F91-95B6-49D3-BD6A-D594997D93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Clash with UCS, can change to Can change to Wk 12, 2pm?
Reply:
    Sorry this shld be Wk 10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tc={88E62A48-0221-4763-96EE-1135A38DEDA2}</author>
    <author>tc={0732EDA2-9328-4D1F-8009-4919E5054CB1}</author>
    <author>tc={76DD2D23-F9AF-4C57-9ED6-A65D013B7EFF}</author>
    <author>tc={E4219893-9753-4796-96EF-AFF96762F6F0}</author>
  </authors>
  <commentList>
    <comment ref="H16" authorId="0" shapeId="0" xr:uid="{88E62A48-0221-4763-96EE-1135A38DEDA2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the Wks</t>
      </text>
    </comment>
    <comment ref="E22" authorId="1" shapeId="0" xr:uid="{0732EDA2-9328-4D1F-8009-4919E5054CB1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from Fri to Wed</t>
      </text>
    </comment>
    <comment ref="E23" authorId="2" shapeId="0" xr:uid="{76DD2D23-F9AF-4C57-9ED6-A65D013B7EFF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from Fri PM to Thu AM</t>
      </text>
    </comment>
    <comment ref="F23" authorId="3" shapeId="0" xr:uid="{E4219893-9753-4796-96EF-AFF96762F6F0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tc={E18B697D-F5B3-458B-8D39-ECE5F4582757}</author>
    <author>tc={9189ECF1-5EDB-42DC-918B-77868DA185F0}</author>
    <author>tc={9803CD76-531C-40EF-B965-192CE5DF909D}</author>
    <author>tc={26FE878D-7705-407A-8A5D-34A09BA556F6}</author>
    <author>tc={BD8CF95E-A5B1-423A-972E-DAE16A0CFC2C}</author>
    <author>tc={04429B62-5EA9-4D31-BAC4-84F2CCABCA02}</author>
    <author>tc={5B301AFE-A35B-449A-9E4F-23F907B31049}</author>
  </authors>
  <commentList>
    <comment ref="C18" authorId="0" shapeId="0" xr:uid="{E18B697D-F5B3-458B-8D39-ECE5F4582757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</t>
      </text>
    </comment>
    <comment ref="F21" authorId="1" shapeId="0" xr:uid="{9189ECF1-5EDB-42DC-918B-77868DA185F0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to Tues across
Reply:
    Updated to Thu</t>
      </text>
    </comment>
    <comment ref="I21" authorId="2" shapeId="0" xr:uid="{9803CD76-531C-40EF-B965-192CE5DF909D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from 3,4,8,11 to 3,5,9,11</t>
      </text>
    </comment>
    <comment ref="K21" authorId="3" shapeId="0" xr:uid="{26FE878D-7705-407A-8A5D-34A09BA556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 Faculty, Prof Venkat</t>
      </text>
    </comment>
    <comment ref="F22" authorId="4" shapeId="0" xr:uid="{BD8CF95E-A5B1-423A-972E-DAE16A0CFC2C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to Tues across</t>
      </text>
    </comment>
    <comment ref="I22" authorId="5" shapeId="0" xr:uid="{04429B62-5EA9-4D31-BAC4-84F2CCABCA02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to Wk 8</t>
      </text>
    </comment>
    <comment ref="K22" authorId="6" shapeId="0" xr:uid="{5B301AFE-A35B-449A-9E4F-23F907B3104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 Faculty, Prof Venkat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tc={642B3D7B-8593-42CB-9D3E-7BE6FF2A6169}</author>
    <author>tc={3D828438-1D32-47CE-833C-A603B982C3DD}</author>
    <author>tc={0649C5B7-D046-4863-8FA0-C7BF1CACE786}</author>
    <author>tc={96BBC8C7-1318-4F0B-BB95-DC44AD9C1B38}</author>
    <author>tc={6E831B1D-9D1D-44A7-B315-A39E4A5A9AB5}</author>
    <author>tc={3A3B41E6-EE59-4945-9C3E-0D4A42677462}</author>
    <author>tc={B9C514EB-ED89-4FDF-AA4A-EE5BDEEA1D59}</author>
    <author>tc={DFF197A8-F74C-4670-95AB-650B96EB4B44}</author>
    <author>tc={F635B186-1A46-402A-AE3A-027C3FB43B33}</author>
    <author>tc={B90DA717-470C-483D-9FD7-E93FC46D6A0F}</author>
    <author>tc={50D21852-348C-4687-B9D9-45191E0A79A5}</author>
    <author>tc={1D27DCEC-034E-4403-98A1-AD6299F5CA78}</author>
    <author>tc={762065F3-6D93-41D6-AF6F-CDDB0EA148F9}</author>
    <author>tc={95ED338C-00D7-4983-9853-786BF8E832B8}</author>
    <author>tc={A6343CB3-A68C-4399-9882-5A1959E4EAA8}</author>
    <author>tc={B99FF815-0D2D-4BB3-9915-3BB4CB3AA425}</author>
    <author>tc={2CF3E752-89D9-4496-901B-06C2768CD334}</author>
    <author>tc={F48A3D0D-5271-425D-8020-BF16D9D3720A}</author>
    <author>tc={F19B7655-8C93-46B2-842E-8D31F5F147C0}</author>
  </authors>
  <commentList>
    <comment ref="E33" authorId="0" shapeId="0" xr:uid="{642B3D7B-8593-42CB-9D3E-7BE6FF2A6169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33" authorId="1" shapeId="0" xr:uid="{3D828438-1D32-47CE-833C-A603B982C3DD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G33" authorId="2" shapeId="0" xr:uid="{0649C5B7-D046-4863-8FA0-C7BF1CACE786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H33" authorId="3" shapeId="0" xr:uid="{96BBC8C7-1318-4F0B-BB95-DC44AD9C1B38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Updated. Removed Wk 13</t>
      </text>
    </comment>
    <comment ref="J33" authorId="4" shapeId="0" xr:uid="{6E831B1D-9D1D-44A7-B315-A39E4A5A9AB5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
Reply:
    Updated</t>
      </text>
    </comment>
    <comment ref="I35" authorId="5" shapeId="0" xr:uid="{3A3B41E6-EE59-4945-9C3E-0D4A42677462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I36" authorId="6" shapeId="0" xr:uid="{B9C514EB-ED89-4FDF-AA4A-EE5BDEEA1D59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G38" authorId="7" shapeId="0" xr:uid="{DFF197A8-F74C-4670-95AB-650B96EB4B44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to 2 hrs</t>
      </text>
    </comment>
    <comment ref="H38" authorId="8" shapeId="0" xr:uid="{F635B186-1A46-402A-AE3A-027C3FB43B33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to 4,8,12</t>
      </text>
    </comment>
    <comment ref="F40" authorId="9" shapeId="0" xr:uid="{B90DA717-470C-483D-9FD7-E93FC46D6A0F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G40" authorId="10" shapeId="0" xr:uid="{50D21852-348C-4687-B9D9-45191E0A79A5}">
      <text>
        <t>[Threaded comment]
Your version of Excel allows you to read this threaded comment; however, any edits to it will get removed if the file is opened in a newer version of Excel. Learn more: https://go.microsoft.com/fwlink/?linkid=870924
Comment:
    3 hrs</t>
      </text>
    </comment>
    <comment ref="H40" authorId="11" shapeId="0" xr:uid="{1D27DCEC-034E-4403-98A1-AD6299F5CA78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Updated. Removed Wk 6</t>
      </text>
    </comment>
    <comment ref="L40" authorId="12" shapeId="0" xr:uid="{762065F3-6D93-41D6-AF6F-CDDB0EA148F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Qilong for P1 session</t>
      </text>
    </comment>
    <comment ref="F41" authorId="13" shapeId="0" xr:uid="{95ED338C-00D7-4983-9853-786BF8E832B8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G41" authorId="14" shapeId="0" xr:uid="{A6343CB3-A68C-4399-9882-5A1959E4EAA8}">
      <text>
        <t>[Threaded comment]
Your version of Excel allows you to read this threaded comment; however, any edits to it will get removed if the file is opened in a newer version of Excel. Learn more: https://go.microsoft.com/fwlink/?linkid=870924
Comment:
    3 hrs</t>
      </text>
    </comment>
    <comment ref="H41" authorId="15" shapeId="0" xr:uid="{B99FF815-0D2D-4BB3-9915-3BB4CB3AA425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Updated. Removed Wk 6</t>
      </text>
    </comment>
    <comment ref="H43" authorId="16" shapeId="0" xr:uid="{2CF3E752-89D9-4496-901B-06C2768CD334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H44" authorId="17" shapeId="0" xr:uid="{F48A3D0D-5271-425D-8020-BF16D9D3720A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E53" authorId="18" shapeId="0" xr:uid="{F19B7655-8C93-46B2-842E-8D31F5F147C0}">
      <text>
        <t>[Threaded comment]
Your version of Excel allows you to read this threaded comment; however, any edits to it will get removed if the file is opened in a newer version of Excel. Learn more: https://go.microsoft.com/fwlink/?linkid=870924
Comment:
    Shift to Wed AM.. Thanks!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tc={607C4677-3627-42BA-BE01-DBE5E7180392}</author>
    <author>tc={B07247CD-FDF7-46D2-8DB7-D093449C8B19}</author>
    <author>tc={5E07FBAB-56A1-4283-9EEC-FA2EE3E7BD4F}</author>
  </authors>
  <commentList>
    <comment ref="B7" authorId="0" shapeId="0" xr:uid="{607C4677-3627-42BA-BE01-DBE5E7180392}">
      <text>
        <t>[Threaded comment]
Your version of Excel allows you to read this threaded comment; however, any edits to it will get removed if the file is opened in a newer version of Excel. Learn more: https://go.microsoft.com/fwlink/?linkid=870924
Comment:
    Newly Added</t>
      </text>
    </comment>
    <comment ref="D7" authorId="1" shapeId="0" xr:uid="{B07247CD-FDF7-46D2-8DB7-D093449C8B19}">
      <text>
        <t>[Threaded comment]
Your version of Excel allows you to read this threaded comment; however, any edits to it will get removed if the file is opened in a newer version of Excel. Learn more: https://go.microsoft.com/fwlink/?linkid=870924
Comment:
    Full Time Students</t>
      </text>
    </comment>
    <comment ref="B10" authorId="2" shapeId="0" xr:uid="{5E07FBAB-56A1-4283-9EEC-FA2EE3E7BD4F}">
      <text>
        <t>[Threaded comment]
Your version of Excel allows you to read this threaded comment; however, any edits to it will get removed if the file is opened in a newer version of Excel. Learn more: https://go.microsoft.com/fwlink/?linkid=870924
Comment:
    Sorted out with ML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tc={DBDFF249-9A8F-47AF-8575-2F286244DFBE}</author>
    <author>tc={22A6DCC9-1958-4B29-B057-BB5CFEA38E47}</author>
    <author>tc={2CFE2FFD-1A9C-4EC7-BE45-BAF05AC2682C}</author>
    <author>tc={8D9149D2-94B0-4224-93BB-D1572D56047E}</author>
    <author>tc={DC7336B3-73B9-42EC-89C2-8033AB08DA1C}</author>
    <author>tc={E508E559-9CEE-4E44-97E5-AA2DB10C0A6B}</author>
    <author>tc={FCDA1507-647A-430E-8F3C-20B13A0F2528}</author>
    <author>tc={304EC3BB-F089-4E22-A17E-C6FC60CBC6F6}</author>
    <author>tc={548881F4-B473-42B4-BAC5-2EE256E9C3C8}</author>
    <author>tc={3292A76D-2681-4D4E-850F-6B8979D76D02}</author>
    <author>tc={D70E6BD8-2DD4-4111-8C35-EC5C7E51D696}</author>
    <author>tc={AB8E9136-CCA7-43C5-903A-3DF330083444}</author>
    <author>tc={794C59C3-40A3-4019-B5D2-7A393CE9FF39}</author>
    <author>tc={EDBD8CE0-CD54-4C4C-9BC5-D56E1F7800C7}</author>
    <author>tc={2ED14223-76B5-4537-833F-8DD9C28C9549}</author>
    <author>tc={CC08F156-4D42-46B3-BFE1-942FA85F8028}</author>
  </authors>
  <commentList>
    <comment ref="I3" authorId="0" shapeId="0" xr:uid="{DBDFF249-9A8F-47AF-8575-2F286244DFBE}">
      <text>
        <t>[Threaded comment]
Your version of Excel allows you to read this threaded comment; however, any edits to it will get removed if the file is opened in a newer version of Excel. Learn more: https://go.microsoft.com/fwlink/?linkid=870924
Comment:
    ML requested to update to Electronics Lab (09) - Lyndy is aware</t>
      </text>
    </comment>
    <comment ref="F4" authorId="1" shapeId="0" xr:uid="{22A6DCC9-1958-4B29-B057-BB5CFEA38E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Requesting to start at 1pm and it has been agreed</t>
      </text>
    </comment>
    <comment ref="I4" authorId="2" shapeId="0" xr:uid="{2CFE2FFD-1A9C-4EC7-BE45-BAF05AC2682C}">
      <text>
        <t>[Threaded comment]
Your version of Excel allows you to read this threaded comment; however, any edits to it will get removed if the file is opened in a newer version of Excel. Learn more: https://go.microsoft.com/fwlink/?linkid=870924
Comment:
    ML requested to update to Electronics Lab (09) - Lyndy is aware</t>
      </text>
    </comment>
    <comment ref="E6" authorId="3" shapeId="0" xr:uid="{8D9149D2-94B0-4224-93BB-D1572D56047E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6" authorId="4" shapeId="0" xr:uid="{DC7336B3-73B9-42EC-89C2-8033AB08DA1C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E8" authorId="5" shapeId="0" xr:uid="{E508E559-9CEE-4E44-97E5-AA2DB10C0A6B}">
      <text>
        <t>[Threaded comment]
Your version of Excel allows you to read this threaded comment; however, any edits to it will get removed if the file is opened in a newer version of Excel. Learn more: https://go.microsoft.com/fwlink/?linkid=870924
Comment:
    Shifted to Fri 2pm due to clash in Yohanes</t>
      </text>
    </comment>
    <comment ref="J8" authorId="6" shapeId="0" xr:uid="{FCDA1507-647A-430E-8F3C-20B13A0F2528}">
      <text>
        <t>[Threaded comment]
Your version of Excel allows you to read this threaded comment; however, any edits to it will get removed if the file is opened in a newer version of Excel. Learn more: https://go.microsoft.com/fwlink/?linkid=870924
Comment:
    Teaching MME2232</t>
      </text>
    </comment>
    <comment ref="E9" authorId="7" shapeId="0" xr:uid="{304EC3BB-F089-4E22-A17E-C6FC60CBC6F6}">
      <text>
        <t>[Threaded comment]
Your version of Excel allows you to read this threaded comment; however, any edits to it will get removed if the file is opened in a newer version of Excel. Learn more: https://go.microsoft.com/fwlink/?linkid=870924
Comment:
    Shifted to Fri 2pm due to clash in Yohanes</t>
      </text>
    </comment>
    <comment ref="H9" authorId="8" shapeId="0" xr:uid="{548881F4-B473-42B4-BAC5-2EE256E9C3C8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venue for Wk 2</t>
      </text>
    </comment>
    <comment ref="J9" authorId="9" shapeId="0" xr:uid="{3292A76D-2681-4D4E-850F-6B8979D76D02}">
      <text>
        <t>[Threaded comment]
Your version of Excel allows you to read this threaded comment; however, any edits to it will get removed if the file is opened in a newer version of Excel. Learn more: https://go.microsoft.com/fwlink/?linkid=870924
Comment:
    Teaching MME2232</t>
      </text>
    </comment>
    <comment ref="E10" authorId="10" shapeId="0" xr:uid="{D70E6BD8-2DD4-4111-8C35-EC5C7E51D696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10" authorId="11" shapeId="0" xr:uid="{AB8E9136-CCA7-43C5-903A-3DF330083444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H10" authorId="12" shapeId="0" xr:uid="{794C59C3-40A3-4019-B5D2-7A393CE9FF39}">
      <text>
        <t>[Threaded comment]
Your version of Excel allows you to read this threaded comment; however, any edits to it will get removed if the file is opened in a newer version of Excel. Learn more: https://go.microsoft.com/fwlink/?linkid=870924
Comment:
    Wk14 to use graphic lab</t>
      </text>
    </comment>
    <comment ref="I10" authorId="13" shapeId="0" xr:uid="{EDBD8CE0-CD54-4C4C-9BC5-D56E1F7800C7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L10" authorId="14" shapeId="0" xr:uid="{2ED14223-76B5-4537-833F-8DD9C28C9549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</t>
      </text>
    </comment>
    <comment ref="L11" authorId="15" shapeId="0" xr:uid="{CC08F156-4D42-46B3-BFE1-942FA85F8028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tc={43F3DBE8-6CBD-4C95-BB54-A913A1FA784C}</author>
    <author>tc={F35B350B-D53E-4B9C-9A34-09CAD6EDCEBF}</author>
    <author>tc={8E99176E-8370-4CF1-B6B9-3FF53037D361}</author>
    <author>tc={2E1B8E38-6D7C-46D0-AF51-AF8AE4FAFD6A}</author>
    <author>tc={AB971185-125D-41DF-8560-8295667F0B88}</author>
    <author>tc={BE292BA6-1927-4E73-8794-245C01392EE6}</author>
    <author>tc={5059360E-A07B-4663-AE23-ABB2B1ABF87A}</author>
    <author>tc={43F7128D-0D7B-44D2-B377-8DAA18356EA7}</author>
    <author>tc={E25DE731-F8BE-46D2-B5FD-B643E4501FF4}</author>
    <author>tc={0C499E48-379F-4DB3-BDF8-6D774FE52610}</author>
    <author>tc={9E7F9CA6-334B-4529-9866-0829E08EB205}</author>
    <author>tc={6DE51779-82BE-4064-8E46-2D22D5D35370}</author>
    <author>tc={2D788838-30BF-4AE9-B2DA-8D7B2A9EADAC}</author>
    <author>tc={95315BCD-B0DF-476B-8F88-2B0310B0AD8B}</author>
    <author>tc={117FB227-4288-47D4-BB4A-C7F025A1AB00}</author>
    <author>tc={8315C51F-0671-43D7-B3D3-992C26FAC3F7}</author>
    <author>tc={D60A1EE9-1DDB-4D30-B12D-B8B0043D0719}</author>
    <author>tc={33629E9D-8160-4A84-86E1-CA676AE2CFAA}</author>
    <author>tc={6CC9AC70-6B75-460D-A964-85CA6D2F1D17}</author>
    <author>tc={8FBF469C-36C9-4CA7-8900-E213C7A46FA7}</author>
    <author>tc={C2CB9E2F-8F9A-49CF-9575-AB147A7C026A}</author>
    <author>tc={A4930A19-C60B-454B-99F0-B06598E3DFFC}</author>
  </authors>
  <commentList>
    <comment ref="L3" authorId="0" shapeId="0" xr:uid="{43F3DBE8-6CBD-4C95-BB54-A913A1FA78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Updated PO name @Candice Chua Pey Shyan </t>
      </text>
    </comment>
    <comment ref="E4" authorId="1" shapeId="0" xr:uid="{F35B350B-D53E-4B9C-9A34-09CAD6EDCE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from Thu 2PM @Candice Chua Pey Shyan </t>
      </text>
    </comment>
    <comment ref="F4" authorId="2" shapeId="0" xr:uid="{8E99176E-8370-4CF1-B6B9-3FF53037D361}">
      <text>
        <t>[Threaded comment]
Your version of Excel allows you to read this threaded comment; however, any edits to it will get removed if the file is opened in a newer version of Excel. Learn more: https://go.microsoft.com/fwlink/?linkid=870924
Comment:
    @Kenichi Kato  - need to change to 2 PM</t>
      </text>
    </comment>
    <comment ref="I4" authorId="3" shapeId="0" xr:uid="{2E1B8E38-6D7C-46D0-AF51-AF8AE4FAFD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from Eng Graphics Lab 1 &amp; 2 @Candice Chua Pey Shyan </t>
      </text>
    </comment>
    <comment ref="E5" authorId="4" shapeId="0" xr:uid="{AB971185-125D-41DF-8560-8295667F0B88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wk 2 session</t>
      </text>
    </comment>
    <comment ref="F5" authorId="5" shapeId="0" xr:uid="{BE292BA6-1927-4E73-8794-245C01392EE6}">
      <text>
        <t>[Threaded comment]
Your version of Excel allows you to read this threaded comment; however, any edits to it will get removed if the file is opened in a newer version of Excel. Learn more: https://go.microsoft.com/fwlink/?linkid=870924
Comment:
    @Kenichi Kato  - need to change to 2 PM</t>
      </text>
    </comment>
    <comment ref="I5" authorId="6" shapeId="0" xr:uid="{5059360E-A07B-4663-AE23-ABB2B1ABF8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from Eng Graphics Lab 1 &amp; 2 @Candice Chua Pey Shyan </t>
      </text>
    </comment>
    <comment ref="E6" authorId="7" shapeId="0" xr:uid="{43F7128D-0D7B-44D2-B377-8DAA18356E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from Thu 2PM @Candice Chua Pey Shyan </t>
      </text>
    </comment>
    <comment ref="F6" authorId="8" shapeId="0" xr:uid="{E25DE731-F8BE-46D2-B5FD-B643E4501FF4}">
      <text>
        <t>[Threaded comment]
Your version of Excel allows you to read this threaded comment; however, any edits to it will get removed if the file is opened in a newer version of Excel. Learn more: https://go.microsoft.com/fwlink/?linkid=870924
Comment:
    @Kenichi Kato  - need to change to 2 PM</t>
      </text>
    </comment>
    <comment ref="H6" authorId="9" shapeId="0" xr:uid="{0C499E48-379F-4DB3-BDF8-6D774FE52610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I6" authorId="10" shapeId="0" xr:uid="{9E7F9CA6-334B-4529-9866-0829E08EB2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from Electronics Lab (E6-07-10) @Candice Chua Pey Shyan </t>
      </text>
    </comment>
    <comment ref="E7" authorId="11" shapeId="0" xr:uid="{6DE51779-82BE-4064-8E46-2D22D5D353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from Thu 2PM @Candice Chua Pey Shyan </t>
      </text>
    </comment>
    <comment ref="F7" authorId="12" shapeId="0" xr:uid="{2D788838-30BF-4AE9-B2DA-8D7B2A9EADAC}">
      <text>
        <t>[Threaded comment]
Your version of Excel allows you to read this threaded comment; however, any edits to it will get removed if the file is opened in a newer version of Excel. Learn more: https://go.microsoft.com/fwlink/?linkid=870924
Comment:
    @Kenichi Kato  - need to change to 2 PM</t>
      </text>
    </comment>
    <comment ref="I7" authorId="13" shapeId="0" xr:uid="{95315BCD-B0DF-476B-8F88-2B0310B0AD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from Eng Graphics Lab 1 &amp; 2 @Candice Chua Pey Shyan </t>
      </text>
    </comment>
    <comment ref="E8" authorId="14" shapeId="0" xr:uid="{117FB227-4288-47D4-BB4A-C7F025A1AB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from Thu 2PM @Candice Chua Pey Shyan </t>
      </text>
    </comment>
    <comment ref="F8" authorId="15" shapeId="0" xr:uid="{8315C51F-0671-43D7-B3D3-992C26FAC3F7}">
      <text>
        <t>[Threaded comment]
Your version of Excel allows you to read this threaded comment; however, any edits to it will get removed if the file is opened in a newer version of Excel. Learn more: https://go.microsoft.com/fwlink/?linkid=870924
Comment:
    @Kenichi Kato  - need to change to 2 PM</t>
      </text>
    </comment>
    <comment ref="I8" authorId="16" shapeId="0" xr:uid="{D60A1EE9-1DDB-4D30-B12D-B8B0043D07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from Electronics Lab (E6-07-10) @Candice Chua Pey Shyan </t>
      </text>
    </comment>
    <comment ref="F9" authorId="17" shapeId="0" xr:uid="{33629E9D-8160-4A84-86E1-CA676AE2CFA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to Wed, 9am to accommodate MET2502</t>
      </text>
    </comment>
    <comment ref="F10" authorId="18" shapeId="0" xr:uid="{6CC9AC70-6B75-460D-A964-85CA6D2F1D1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to 1pm as clash w MET2002</t>
      </text>
    </comment>
    <comment ref="B11" authorId="19" shapeId="0" xr:uid="{8FBF469C-36C9-4CA7-8900-E213C7A46FA7}">
      <text>
        <t>[Threaded comment]
Your version of Excel allows you to read this threaded comment; however, any edits to it will get removed if the file is opened in a newer version of Excel. Learn more: https://go.microsoft.com/fwlink/?linkid=870924
Comment:
    Capstone Project</t>
      </text>
    </comment>
    <comment ref="B12" authorId="20" shapeId="0" xr:uid="{C2CB9E2F-8F9A-49CF-9575-AB147A7C026A}">
      <text>
        <t>[Threaded comment]
Your version of Excel allows you to read this threaded comment; however, any edits to it will get removed if the file is opened in a newer version of Excel. Learn more: https://go.microsoft.com/fwlink/?linkid=870924
Comment:
    Capstone Project</t>
      </text>
    </comment>
    <comment ref="H18" authorId="21" shapeId="0" xr:uid="{A4930A19-C60B-454B-99F0-B06598E3DF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Updated the session in Wk 8 to Wk 6.. For noting please. Thanks! @Candice Chua Pey Shyan 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tc={40531BC3-4197-427B-9B2F-33F25A32ED77}</author>
    <author>tc={86442A39-A0F0-45D8-9399-4BB9810F23ED}</author>
    <author>tc={88993611-046D-4903-8F5D-037A1F89CAAF}</author>
    <author>tc={4DE77434-0C43-43CD-BB71-1A56072D124B}</author>
  </authors>
  <commentList>
    <comment ref="F21" authorId="0" shapeId="0" xr:uid="{40531BC3-4197-427B-9B2F-33F25A32ED77}">
      <text>
        <t>[Threaded comment]
Your version of Excel allows you to read this threaded comment; however, any edits to it will get removed if the file is opened in a newer version of Excel. Learn more: https://go.microsoft.com/fwlink/?linkid=870924
Comment:
    To reschedule
Reply:
    9am</t>
      </text>
    </comment>
    <comment ref="H21" authorId="1" shapeId="0" xr:uid="{86442A39-A0F0-45D8-9399-4BB9810F23ED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to Wk 10</t>
      </text>
    </comment>
    <comment ref="H22" authorId="2" shapeId="0" xr:uid="{88993611-046D-4903-8F5D-037A1F89CAAF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to Wk 10</t>
      </text>
    </comment>
    <comment ref="I27" authorId="3" shapeId="0" xr:uid="{4DE77434-0C43-43CD-BB71-1A56072D12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Updated for SBE3131 @Candice Chua Pey Shyan 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tc={F3273332-4ED5-4714-B914-BB9CC46D0F24}</author>
    <author>tc={79860A44-72AC-4046-A43B-F5E245E5FD64}</author>
    <author>tc={945F9E0A-AB41-4A31-B49F-76D0A87C7E4C}</author>
    <author>tc={7566F3B1-03D7-4E67-8B05-C2B65485B0BD}</author>
    <author>tc={39883F02-E7AD-4267-993B-CEAB7185A5B4}</author>
    <author>tc={CE5EF12D-3510-406C-B3DF-76C29DCBB9B4}</author>
    <author>tc={CA5D84CF-4371-4FE0-9FB5-51F6B31DE74F}</author>
  </authors>
  <commentList>
    <comment ref="E8" authorId="0" shapeId="0" xr:uid="{F3273332-4ED5-4714-B914-BB9CC46D0F24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to resolve conflict</t>
      </text>
    </comment>
    <comment ref="L18" authorId="1" shapeId="0" xr:uid="{79860A44-72AC-4046-A43B-F5E245E5FD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Qilong @Candice Chua Pey Shyan - can help me with this change please</t>
      </text>
    </comment>
    <comment ref="L19" authorId="2" shapeId="0" xr:uid="{945F9E0A-AB41-4A31-B49F-76D0A87C7E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Qilong</t>
      </text>
    </comment>
    <comment ref="L20" authorId="3" shapeId="0" xr:uid="{7566F3B1-03D7-4E67-8B05-C2B65485B0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Qilong</t>
      </text>
    </comment>
    <comment ref="L21" authorId="4" shapeId="0" xr:uid="{39883F02-E7AD-4267-993B-CEAB7185A5B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Qilong</t>
      </text>
    </comment>
    <comment ref="I25" authorId="5" shapeId="0" xr:uid="{CE5EF12D-3510-406C-B3DF-76C29DCBB9B4}">
      <text>
        <t>[Threaded comment]
Your version of Excel allows you to read this threaded comment; however, any edits to it will get removed if the file is opened in a newer version of Excel. Learn more: https://go.microsoft.com/fwlink/?linkid=870924
Comment:
    Venue used by TCE on Wk 8 &amp; 9</t>
      </text>
    </comment>
    <comment ref="I26" authorId="6" shapeId="0" xr:uid="{CA5D84CF-4371-4FE0-9FB5-51F6B31DE74F}">
      <text>
        <t>[Threaded comment]
Your version of Excel allows you to read this threaded comment; however, any edits to it will get removed if the file is opened in a newer version of Excel. Learn more: https://go.microsoft.com/fwlink/?linkid=870924
Comment:
    Venue used by TCE on Wk 8 &amp; 9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tc={FA2C172C-96BF-4799-9D3A-B22440AD6DAA}</author>
    <author>tc={67E65213-8F47-4E8A-9EB5-D1DCF198A71F}</author>
    <author>tc={4AE87F2F-5DD8-4E4B-8176-8E0039A982D5}</author>
    <author>tc={E5F534A5-9EF7-44B5-A52C-C4B32167F3A4}</author>
    <author>tc={4553BE64-C38C-4ECD-B03D-5632219C44CF}</author>
    <author>tc={DB9C4E12-4F1D-4EC9-BBE4-447818CF5E11}</author>
    <author>tc={530D8447-7A0B-4398-A39A-89700BF1B8A6}</author>
    <author>tc={532E266E-67A6-4791-A3C3-6ED9E3ADE091}</author>
    <author>tc={72F0322E-1D84-44D0-82DD-AD78EE690BA9}</author>
    <author>tc={ED8828C6-095A-4809-8224-FFA09C7E2AA7}</author>
    <author>tc={1F473F5B-1A88-46EB-B768-00A86AB370BA}</author>
    <author>tc={9240EA6F-EF1F-45AC-A1E5-E16DF4F9705C}</author>
  </authors>
  <commentList>
    <comment ref="H3" authorId="0" shapeId="0" xr:uid="{FA2C172C-96BF-4799-9D3A-B22440AD6DAA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change to Wk 5</t>
      </text>
    </comment>
    <comment ref="C4" authorId="1" shapeId="0" xr:uid="{67E65213-8F47-4E8A-9EB5-D1DCF198A71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Newly added session</t>
      </text>
    </comment>
    <comment ref="K4" authorId="2" shapeId="0" xr:uid="{4AE87F2F-5DD8-4E4B-8176-8E0039A982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Sorry added Han Guan here @Candice Chua Pey Shyan </t>
      </text>
    </comment>
    <comment ref="H5" authorId="3" shapeId="0" xr:uid="{E5F534A5-9EF7-44B5-A52C-C4B32167F3A4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change to Wk 5</t>
      </text>
    </comment>
    <comment ref="H6" authorId="4" shapeId="0" xr:uid="{4553BE64-C38C-4ECD-B03D-5632219C44CF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change to Wk 5</t>
      </text>
    </comment>
    <comment ref="C8" authorId="5" shapeId="0" xr:uid="{DB9C4E12-4F1D-4EC9-BBE4-447818CF5E11}">
      <text>
        <t>[Threaded comment]
Your version of Excel allows you to read this threaded comment; however, any edits to it will get removed if the file is opened in a newer version of Excel. Learn more: https://go.microsoft.com/fwlink/?linkid=870924
Comment:
    Newly added session</t>
      </text>
    </comment>
    <comment ref="K8" authorId="6" shapeId="0" xr:uid="{530D8447-7A0B-4398-A39A-89700BF1B8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Sorry added Han Guan here @Candice Chua Pey Shyan </t>
      </text>
    </comment>
    <comment ref="B9" authorId="7" shapeId="0" xr:uid="{532E266E-67A6-4791-A3C3-6ED9E3ADE091}">
      <text>
        <t>[Threaded comment]
Your version of Excel allows you to read this threaded comment; however, any edits to it will get removed if the file is opened in a newer version of Excel. Learn more: https://go.microsoft.com/fwlink/?linkid=870924
Comment:
    Shifted to Mon, 3pm to accommodate CVE1114</t>
      </text>
    </comment>
    <comment ref="E9" authorId="8" shapeId="0" xr:uid="{72F0322E-1D84-44D0-82DD-AD78EE690BA9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to Mon PM</t>
      </text>
    </comment>
    <comment ref="C10" authorId="9" shapeId="0" xr:uid="{ED8828C6-095A-4809-8224-FFA09C7E2AA7}">
      <text>
        <t>[Threaded comment]
Your version of Excel allows you to read this threaded comment; however, any edits to it will get removed if the file is opened in a newer version of Excel. Learn more: https://go.microsoft.com/fwlink/?linkid=870924
Comment:
    Newly added session</t>
      </text>
    </comment>
    <comment ref="K10" authorId="10" shapeId="0" xr:uid="{1F473F5B-1A88-46EB-B768-00A86AB370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Sorry added Han Guan here @Candice Chua Pey Shyan </t>
      </text>
    </comment>
    <comment ref="L14" authorId="11" shapeId="0" xr:uid="{9240EA6F-EF1F-45AC-A1E5-E16DF4F9705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Neo Ser Hua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tc={FD7EED28-296E-436E-A84B-47A430A9D37C}</author>
    <author>tc={2A17A8BF-1849-45F5-813F-E955CFC44CF3}</author>
    <author>tc={2C6FA54B-D9CF-4DA2-AFE0-5C9B99CCA5E5}</author>
    <author>tc={E6106054-FE0D-40D3-BD3B-1BEB4316B9D2}</author>
    <author>tc={796DAD25-FAF0-44F9-953F-5756A3DEEB75}</author>
    <author>tc={5D840340-AB89-4BAF-BCFF-087A0C11C1BE}</author>
    <author>tc={BE8F8C83-3C15-4B75-9B1B-48C17EA23D02}</author>
    <author>tc={CCAFDA19-BD55-48E7-B406-B3F8711DE9E5}</author>
    <author>tc={0485DDD7-AE34-4613-BF56-9B7B8F38FE6C}</author>
    <author>tc={23599479-46F1-4D11-BB34-6CC152D30C2C}</author>
    <author>tc={55F5C2B7-E7E9-455E-B8DF-8CC648E367E4}</author>
    <author>tc={A643E4DE-1706-4CAF-8199-CFA1A424B165}</author>
  </authors>
  <commentList>
    <comment ref="F3" authorId="0" shapeId="0" xr:uid="{FD7EED28-296E-436E-A84B-47A430A9D37C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4" authorId="1" shapeId="0" xr:uid="{2A17A8BF-1849-45F5-813F-E955CFC44CF3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E5" authorId="2" shapeId="0" xr:uid="{2C6FA54B-D9CF-4DA2-AFE0-5C9B99CCA5E5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E7" authorId="3" shapeId="0" xr:uid="{E6106054-FE0D-40D3-BD3B-1BEB4316B9D2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7" authorId="4" shapeId="0" xr:uid="{796DAD25-FAF0-44F9-953F-5756A3DEEB75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E8" authorId="5" shapeId="0" xr:uid="{5D840340-AB89-4BAF-BCFF-087A0C11C1BE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F8" authorId="6" shapeId="0" xr:uid="{BE8F8C83-3C15-4B75-9B1B-48C17EA23D02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</t>
      </text>
    </comment>
    <comment ref="B20" authorId="7" shapeId="0" xr:uid="{CCAFDA19-BD55-48E7-B406-B3F8711DE9E5}">
      <text>
        <t>[Threaded comment]
Your version of Excel allows you to read this threaded comment; however, any edits to it will get removed if the file is opened in a newer version of Excel. Learn more: https://go.microsoft.com/fwlink/?linkid=870924
Comment:
    Newly added module</t>
      </text>
    </comment>
    <comment ref="I28" authorId="8" shapeId="0" xr:uid="{0485DDD7-AE34-4613-BF56-9B7B8F38FE6C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small class size, SR will be assigned instead of ACE
Reply:
    Can check if the SR room meets the ML’s requirements? thanks
Reply:
    We do not have any rooms with such requirements</t>
      </text>
    </comment>
    <comment ref="H29" authorId="9" shapeId="0" xr:uid="{23599479-46F1-4D11-BB34-6CC152D30C2C}">
      <text>
        <t>[Threaded comment]
Your version of Excel allows you to read this threaded comment; however, any edits to it will get removed if the file is opened in a newer version of Excel. Learn more: https://go.microsoft.com/fwlink/?linkid=870924
Comment:
    Wk 12, Add 1 teaching staff</t>
      </text>
    </comment>
    <comment ref="I29" authorId="10" shapeId="0" xr:uid="{55F5C2B7-E7E9-455E-B8DF-8CC648E367E4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small class size, SR will be assigned instead of ACE
Reply:
    Can check if the SR room meets the ML’s requirements? thanks
Reply:
    We do not have any rooms with such requirements</t>
      </text>
    </comment>
    <comment ref="K29" authorId="11" shapeId="0" xr:uid="{A643E4DE-1706-4CAF-8199-CFA1A424B16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Added
Reply:
    @Candice Chua Pey Shyan - Hi Candice, noted that Deric’s name not included in Tri 1 Timetable, can help to add please? Thanks!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tc={16BDFC0E-3247-4394-80B7-67D36704A9AE}</author>
    <author>tc={7138C2D5-CFE3-4C7E-9CCD-326684C6DAB3}</author>
  </authors>
  <commentList>
    <comment ref="B3" authorId="0" shapeId="0" xr:uid="{16BDFC0E-3247-4394-80B7-67D36704A9AE}">
      <text>
        <t>[Threaded comment]
Your version of Excel allows you to read this threaded comment; however, any edits to it will get removed if the file is opened in a newer version of Excel. Learn more: https://go.microsoft.com/fwlink/?linkid=870924
Comment:
    Newly added 3 modules for CSM</t>
      </text>
    </comment>
    <comment ref="H8" authorId="1" shapeId="0" xr:uid="{7138C2D5-CFE3-4C7E-9CCD-326684C6DAB3}">
      <text>
        <t>[Threaded comment]
Your version of Excel allows you to read this threaded comment; however, any edits to it will get removed if the file is opened in a newer version of Excel. Learn more: https://go.microsoft.com/fwlink/?linkid=870924
Comment:
    To update based on Monissa’s latest updates</t>
      </text>
    </comment>
  </commentList>
</comments>
</file>

<file path=xl/sharedStrings.xml><?xml version="1.0" encoding="utf-8"?>
<sst xmlns="http://schemas.openxmlformats.org/spreadsheetml/2006/main" count="3959" uniqueCount="767">
  <si>
    <t>Past AY Data</t>
  </si>
  <si>
    <t>Prog</t>
  </si>
  <si>
    <t>Module</t>
  </si>
  <si>
    <t>Status</t>
  </si>
  <si>
    <t>Module Code</t>
  </si>
  <si>
    <t>Module Title</t>
  </si>
  <si>
    <t>Remarks</t>
  </si>
  <si>
    <t>AAI</t>
  </si>
  <si>
    <t>Y2 T1</t>
  </si>
  <si>
    <t>Y3 T1</t>
  </si>
  <si>
    <t>Capstone Project</t>
  </si>
  <si>
    <t>Y1 T1</t>
  </si>
  <si>
    <t>Integrated Work Study Programme (Career Skills)</t>
  </si>
  <si>
    <t>Integrated Work Study Programme (Work Attachment)</t>
  </si>
  <si>
    <t>INF1002</t>
  </si>
  <si>
    <t>INF1101</t>
  </si>
  <si>
    <t>INF2001</t>
  </si>
  <si>
    <t>INF2003</t>
  </si>
  <si>
    <t>INF2005</t>
  </si>
  <si>
    <t>ENG1001</t>
  </si>
  <si>
    <t>Engineering Mathematics 1</t>
  </si>
  <si>
    <t>Programming Fundamentals</t>
  </si>
  <si>
    <t>INF1003</t>
  </si>
  <si>
    <t>Mathematics 1</t>
  </si>
  <si>
    <t>Introduction to Computer Systems</t>
  </si>
  <si>
    <t>Introduction to Software Engineering</t>
  </si>
  <si>
    <t>Database Systems</t>
  </si>
  <si>
    <t>Cyber Security Fundamentals</t>
  </si>
  <si>
    <t>UCS1001</t>
  </si>
  <si>
    <t>Critical Thinking and Communicating</t>
  </si>
  <si>
    <t>UDC1001</t>
  </si>
  <si>
    <t>Digital Competency Essentials</t>
  </si>
  <si>
    <t>UDE2222</t>
  </si>
  <si>
    <t>Design Innovation</t>
  </si>
  <si>
    <t>USI2001</t>
  </si>
  <si>
    <t>Social Innovation Project</t>
  </si>
  <si>
    <t>Programme</t>
  </si>
  <si>
    <r>
      <t>Duration to be the same for</t>
    </r>
    <r>
      <rPr>
        <i/>
        <u/>
        <sz val="11"/>
        <color rgb="FFFF0000"/>
        <rFont val="Calibri"/>
        <family val="2"/>
        <scheme val="minor"/>
      </rPr>
      <t xml:space="preserve"> Lecture, tutorial and lab</t>
    </r>
    <r>
      <rPr>
        <i/>
        <sz val="11"/>
        <color rgb="FFFF0000"/>
        <rFont val="Calibri"/>
        <family val="2"/>
        <scheme val="minor"/>
      </rPr>
      <t xml:space="preserve"> within programme</t>
    </r>
  </si>
  <si>
    <t>For Masters programme</t>
  </si>
  <si>
    <t>Time needed for lab setup/turnaround</t>
  </si>
  <si>
    <t>Prog/Yr</t>
  </si>
  <si>
    <t>Module code</t>
  </si>
  <si>
    <t>Group</t>
  </si>
  <si>
    <t>Group Size</t>
  </si>
  <si>
    <t>Day</t>
  </si>
  <si>
    <t>Start Time</t>
  </si>
  <si>
    <t>Duration (Hr)</t>
  </si>
  <si>
    <t>Weeks</t>
  </si>
  <si>
    <t>Location</t>
  </si>
  <si>
    <t>Staff 1</t>
  </si>
  <si>
    <t>Staff 2</t>
  </si>
  <si>
    <t>Staff 3</t>
  </si>
  <si>
    <t>Staff 4</t>
  </si>
  <si>
    <t>Staff 5</t>
  </si>
  <si>
    <t>Staff 6</t>
  </si>
  <si>
    <t>Start at 7pm?</t>
  </si>
  <si>
    <t>Yr</t>
  </si>
  <si>
    <t>Cluster</t>
  </si>
  <si>
    <t>Year 2 Tri 1</t>
  </si>
  <si>
    <t>Revamped UDE Module</t>
  </si>
  <si>
    <t>Padma Rao</t>
  </si>
  <si>
    <t>Muhammad Rahimi</t>
  </si>
  <si>
    <t>Y1 T3</t>
  </si>
  <si>
    <t>AAI1001</t>
  </si>
  <si>
    <t>1,2,3,4,5,6,8,9,10,11,12</t>
  </si>
  <si>
    <t>Seminar Room</t>
  </si>
  <si>
    <t>*FONG CHEUK MING ALVIS</t>
  </si>
  <si>
    <t>HUA GUANG</t>
  </si>
  <si>
    <t>MICHAEL THORSTEN GASTNER</t>
  </si>
  <si>
    <t>Staff ID 1</t>
  </si>
  <si>
    <t>Staff ID 2</t>
  </si>
  <si>
    <t>Staff ID 3</t>
  </si>
  <si>
    <t>ASE/Yr 1</t>
  </si>
  <si>
    <t>ASE1106</t>
  </si>
  <si>
    <t>P1</t>
  </si>
  <si>
    <t>Thu</t>
  </si>
  <si>
    <t>2pm</t>
  </si>
  <si>
    <t>2,5</t>
  </si>
  <si>
    <t>E6-07-0047</t>
  </si>
  <si>
    <t>P2</t>
  </si>
  <si>
    <t>3,6</t>
  </si>
  <si>
    <t>P3</t>
  </si>
  <si>
    <t>Fri</t>
  </si>
  <si>
    <t>4,5</t>
  </si>
  <si>
    <t>Assignment</t>
  </si>
  <si>
    <t>Mon</t>
  </si>
  <si>
    <t>9am</t>
  </si>
  <si>
    <t>Clinical</t>
  </si>
  <si>
    <t>Tue</t>
  </si>
  <si>
    <t>10am</t>
  </si>
  <si>
    <t>Discussion</t>
  </si>
  <si>
    <t>Wed</t>
  </si>
  <si>
    <t>11am</t>
  </si>
  <si>
    <t>Field Studies</t>
  </si>
  <si>
    <t>P4</t>
  </si>
  <si>
    <t>12pm</t>
  </si>
  <si>
    <t>Fieldwork</t>
  </si>
  <si>
    <t>P5</t>
  </si>
  <si>
    <t>1pm</t>
  </si>
  <si>
    <t>Independent Study</t>
  </si>
  <si>
    <t>P6</t>
  </si>
  <si>
    <t>Sat</t>
  </si>
  <si>
    <t>Laboratory</t>
  </si>
  <si>
    <t>P7</t>
  </si>
  <si>
    <t>2.30pm</t>
  </si>
  <si>
    <t>Lectorial</t>
  </si>
  <si>
    <t>P8</t>
  </si>
  <si>
    <t>3pm</t>
  </si>
  <si>
    <t>Lecture</t>
  </si>
  <si>
    <t>P9</t>
  </si>
  <si>
    <t>4pm</t>
  </si>
  <si>
    <t>Practicum</t>
  </si>
  <si>
    <t>P10</t>
  </si>
  <si>
    <t>5pm</t>
  </si>
  <si>
    <t>Preparatory Work</t>
  </si>
  <si>
    <t>6pm</t>
  </si>
  <si>
    <t>Projects</t>
  </si>
  <si>
    <t>7pm</t>
  </si>
  <si>
    <t>Quiz</t>
  </si>
  <si>
    <t>Research</t>
  </si>
  <si>
    <t>Self-study</t>
  </si>
  <si>
    <t>Seminar</t>
  </si>
  <si>
    <t>Supervision</t>
  </si>
  <si>
    <t>Tutorial</t>
  </si>
  <si>
    <t>Workshop</t>
  </si>
  <si>
    <t>PC/PO in charge</t>
  </si>
  <si>
    <t>RO's Module</t>
  </si>
  <si>
    <t>Year</t>
  </si>
  <si>
    <t>Name</t>
  </si>
  <si>
    <t>AEE</t>
  </si>
  <si>
    <t>Linyun</t>
  </si>
  <si>
    <t>AEE2003</t>
  </si>
  <si>
    <t>Teach out</t>
  </si>
  <si>
    <t>AEE3000</t>
  </si>
  <si>
    <t>EDE</t>
  </si>
  <si>
    <t>Wang Yu</t>
  </si>
  <si>
    <t>EDE2001</t>
  </si>
  <si>
    <t>Only offered in Tri 1</t>
  </si>
  <si>
    <t>AEE2004</t>
  </si>
  <si>
    <t>ASE1011</t>
  </si>
  <si>
    <t>ASE</t>
  </si>
  <si>
    <t>Mechanics of Engineering Materials</t>
  </si>
  <si>
    <t>No Lab</t>
  </si>
  <si>
    <t>EDE3301</t>
  </si>
  <si>
    <t>Changed to EDE3013 to be offered in Tri 1</t>
  </si>
  <si>
    <t>AEE2005</t>
  </si>
  <si>
    <t>Electrical Circuits</t>
  </si>
  <si>
    <t>Lab</t>
  </si>
  <si>
    <t>EDE3302</t>
  </si>
  <si>
    <t>Changed to EDE3014 to be offered in Tri 1</t>
  </si>
  <si>
    <t>AEE2006</t>
  </si>
  <si>
    <t>ASE2206</t>
  </si>
  <si>
    <t>Human Factors</t>
  </si>
  <si>
    <t>MDME</t>
  </si>
  <si>
    <t>Wu Yaqun</t>
  </si>
  <si>
    <t>MME3153</t>
  </si>
  <si>
    <t>Changed to Tri 1</t>
  </si>
  <si>
    <t>Francis</t>
  </si>
  <si>
    <t>ASE3105</t>
  </si>
  <si>
    <t>Fixed Wing Systems 1</t>
  </si>
  <si>
    <t>MME3161</t>
  </si>
  <si>
    <t>Changed to Tri 2</t>
  </si>
  <si>
    <t>Common Module</t>
  </si>
  <si>
    <t>CHEW CHOON LEE??</t>
  </si>
  <si>
    <t>ENG1005</t>
  </si>
  <si>
    <t>ASE3106</t>
  </si>
  <si>
    <t>Fixed Wing Systems 2</t>
  </si>
  <si>
    <t>EPE</t>
  </si>
  <si>
    <t>Cao Shuyu</t>
  </si>
  <si>
    <t>EPE3207</t>
  </si>
  <si>
    <t>Teach-out</t>
  </si>
  <si>
    <t>No PO/TO</t>
  </si>
  <si>
    <t>ENG1008</t>
  </si>
  <si>
    <t>MEC</t>
  </si>
  <si>
    <t>Vincent Chan Siang Huat</t>
  </si>
  <si>
    <t>MEC3331</t>
  </si>
  <si>
    <t>Michael</t>
  </si>
  <si>
    <t>ENG1010</t>
  </si>
  <si>
    <t>ASE3108</t>
  </si>
  <si>
    <t>Aircraft Propulsion 2</t>
  </si>
  <si>
    <t>MEC3351</t>
  </si>
  <si>
    <t>Shen Lu</t>
  </si>
  <si>
    <t>ENG3001</t>
  </si>
  <si>
    <t>ASE3110</t>
  </si>
  <si>
    <t>Aircraft Electrical and Cabin Systems</t>
  </si>
  <si>
    <t>MEC3361</t>
  </si>
  <si>
    <t>CVE</t>
  </si>
  <si>
    <t>King Ing</t>
  </si>
  <si>
    <t>CVE1114</t>
  </si>
  <si>
    <t>ASE3112</t>
  </si>
  <si>
    <t>Numerical Simulations</t>
  </si>
  <si>
    <t>CVE1122</t>
  </si>
  <si>
    <t>ASE3113</t>
  </si>
  <si>
    <t>Engine Non-Destructive Testing</t>
  </si>
  <si>
    <t>CVE2142</t>
  </si>
  <si>
    <t>ASE3115</t>
  </si>
  <si>
    <t>Aircraft Repair Processes</t>
  </si>
  <si>
    <t>CVE2151</t>
  </si>
  <si>
    <t>ASE3116</t>
  </si>
  <si>
    <t>Mechanics of Fracture and Fatigue</t>
  </si>
  <si>
    <t>DSC</t>
  </si>
  <si>
    <t>Changjun</t>
  </si>
  <si>
    <t>DSC2302</t>
  </si>
  <si>
    <t>Submitted</t>
  </si>
  <si>
    <t>ASE3209A</t>
  </si>
  <si>
    <t>MET2602</t>
  </si>
  <si>
    <t>ASE3210</t>
  </si>
  <si>
    <t>Integrated Workplace Learning</t>
  </si>
  <si>
    <t>Civil Engineering Skills</t>
  </si>
  <si>
    <t>EDE2012</t>
  </si>
  <si>
    <t>Statics and Structural Mechanics</t>
  </si>
  <si>
    <t>EDE2014</t>
  </si>
  <si>
    <t>CVE2122</t>
  </si>
  <si>
    <t>Structural Design</t>
  </si>
  <si>
    <t>EDE3013</t>
  </si>
  <si>
    <t>CVE2132</t>
  </si>
  <si>
    <t>Geotechnical Engineering</t>
  </si>
  <si>
    <t>EDE3014</t>
  </si>
  <si>
    <t>Hydraulics and Hydrology</t>
  </si>
  <si>
    <t>EPE2300</t>
  </si>
  <si>
    <t>Completed</t>
  </si>
  <si>
    <t>Transportation Engineering</t>
  </si>
  <si>
    <t>EPE2301</t>
  </si>
  <si>
    <t>CVE3271</t>
  </si>
  <si>
    <t>EPE2302</t>
  </si>
  <si>
    <t>CVE3371A</t>
  </si>
  <si>
    <t>EPE2307</t>
  </si>
  <si>
    <t>DSC1001</t>
  </si>
  <si>
    <t>Fundamentals of Supply Chain Management</t>
  </si>
  <si>
    <t>ESE</t>
  </si>
  <si>
    <t>Raj</t>
  </si>
  <si>
    <t>ESE2023</t>
  </si>
  <si>
    <t>Demand and Inventory Planning</t>
  </si>
  <si>
    <t>ESE2023X</t>
  </si>
  <si>
    <t>DSC3001</t>
  </si>
  <si>
    <t>ESE3101</t>
  </si>
  <si>
    <t>DSC3002A</t>
  </si>
  <si>
    <t>ESE3101X</t>
  </si>
  <si>
    <t>EDE1011</t>
  </si>
  <si>
    <t>Yaqun</t>
  </si>
  <si>
    <t>MME1221</t>
  </si>
  <si>
    <t>Digital Electronics</t>
  </si>
  <si>
    <t>MME1251</t>
  </si>
  <si>
    <t>EDE4011A</t>
  </si>
  <si>
    <t>MME2211</t>
  </si>
  <si>
    <t>ENG1004</t>
  </si>
  <si>
    <t>Engineering Physics 1</t>
  </si>
  <si>
    <t>MME2221</t>
  </si>
  <si>
    <t>Programming</t>
  </si>
  <si>
    <t>MME2232</t>
  </si>
  <si>
    <t>MME3252</t>
  </si>
  <si>
    <t>EDE2011</t>
  </si>
  <si>
    <t>Mathematics 3</t>
  </si>
  <si>
    <t>Vincent Chan</t>
  </si>
  <si>
    <t>MEC1151</t>
  </si>
  <si>
    <t>Object Oriented Programming</t>
  </si>
  <si>
    <t>MEC1161</t>
  </si>
  <si>
    <t>EDE2013</t>
  </si>
  <si>
    <t>Semiconductor Physics</t>
  </si>
  <si>
    <t>MEC2123</t>
  </si>
  <si>
    <t>Control Engineering</t>
  </si>
  <si>
    <t>MEC2134</t>
  </si>
  <si>
    <t>MEC2135</t>
  </si>
  <si>
    <t>EDE3011</t>
  </si>
  <si>
    <t>Ethics</t>
  </si>
  <si>
    <t>MEC2152</t>
  </si>
  <si>
    <t>EDE3012</t>
  </si>
  <si>
    <t>Internet of Things</t>
  </si>
  <si>
    <t>MEC2171</t>
  </si>
  <si>
    <t>MEC2173</t>
  </si>
  <si>
    <t>METS</t>
  </si>
  <si>
    <t>Kenichi</t>
  </si>
  <si>
    <t>MET2002</t>
  </si>
  <si>
    <t>MET2304</t>
  </si>
  <si>
    <t>MET2502</t>
  </si>
  <si>
    <t>MSc (CVE)</t>
  </si>
  <si>
    <t>Joel Tan</t>
  </si>
  <si>
    <t>No labs required</t>
  </si>
  <si>
    <t>MSc (EEE)</t>
  </si>
  <si>
    <t>Shuyu</t>
  </si>
  <si>
    <t>NAME</t>
  </si>
  <si>
    <t>MSc (MEC)</t>
  </si>
  <si>
    <t>RSE</t>
  </si>
  <si>
    <t>Yau Shiang</t>
  </si>
  <si>
    <t>NME1103</t>
  </si>
  <si>
    <t>NME1105</t>
  </si>
  <si>
    <t>SBE</t>
  </si>
  <si>
    <t>NME1107</t>
  </si>
  <si>
    <t>NME2101</t>
  </si>
  <si>
    <t>Semiconductor Devices and Reliability</t>
  </si>
  <si>
    <t>NME2103</t>
  </si>
  <si>
    <t>Engineering Physics 2</t>
  </si>
  <si>
    <t>NME2109</t>
  </si>
  <si>
    <t>RF Electronics</t>
  </si>
  <si>
    <t>RSE2701</t>
  </si>
  <si>
    <t>SBE2113</t>
  </si>
  <si>
    <t>SBE2117</t>
  </si>
  <si>
    <t>SBE2214</t>
  </si>
  <si>
    <t>Engineering Graphics</t>
  </si>
  <si>
    <t>SBE3122</t>
  </si>
  <si>
    <t>SEEM</t>
  </si>
  <si>
    <t>SEM4007</t>
  </si>
  <si>
    <t>Semiconductor Technology</t>
  </si>
  <si>
    <t>SEM4307</t>
  </si>
  <si>
    <t>Y4 T1</t>
  </si>
  <si>
    <t>SEM4605</t>
  </si>
  <si>
    <t>SIE</t>
  </si>
  <si>
    <t>SIE3010</t>
  </si>
  <si>
    <t>to check if move to other Tris?</t>
  </si>
  <si>
    <t>EPE1304</t>
  </si>
  <si>
    <t xml:space="preserve">Engineering Physics </t>
  </si>
  <si>
    <t>SIE3015</t>
  </si>
  <si>
    <t>SIE3023</t>
  </si>
  <si>
    <t>Electrical and Magnetic Systems</t>
  </si>
  <si>
    <t>EPE2303</t>
  </si>
  <si>
    <t>Transmission and Distribution</t>
  </si>
  <si>
    <t>Group Project</t>
  </si>
  <si>
    <t>EPE3303A</t>
  </si>
  <si>
    <t>EPE3305</t>
  </si>
  <si>
    <t>ESE1101</t>
  </si>
  <si>
    <t>ESE2021</t>
  </si>
  <si>
    <t>Data Engineering</t>
  </si>
  <si>
    <t>ESE2105</t>
  </si>
  <si>
    <t>Mechanics of Solids</t>
  </si>
  <si>
    <t>Non-Destructive Testing (NDT) 1</t>
  </si>
  <si>
    <t>ESE3112A</t>
  </si>
  <si>
    <t>ESE3125</t>
  </si>
  <si>
    <t>Y5 T1</t>
  </si>
  <si>
    <t>EDE3015</t>
  </si>
  <si>
    <t>Data Analytics</t>
  </si>
  <si>
    <t>Electric Circuits and Analysis</t>
  </si>
  <si>
    <t>Mechanics of Mechanisms</t>
  </si>
  <si>
    <t>Thermodynamics and Heat Transfer</t>
  </si>
  <si>
    <t>Fluid Dynamics</t>
  </si>
  <si>
    <t>MEC2136</t>
  </si>
  <si>
    <t>Aircraft Performance and Propulsion</t>
  </si>
  <si>
    <t>MEC2142</t>
  </si>
  <si>
    <t>Flight Mechanics</t>
  </si>
  <si>
    <t>Real-time Computing Systems</t>
  </si>
  <si>
    <t>Design and Manufacture</t>
  </si>
  <si>
    <t>Automation and Robotics</t>
  </si>
  <si>
    <t>MEC2181</t>
  </si>
  <si>
    <t>Mechanical Simulation</t>
  </si>
  <si>
    <t>MEC3171A</t>
  </si>
  <si>
    <t>MEC3273</t>
  </si>
  <si>
    <t>System Engineering Project 2</t>
  </si>
  <si>
    <t>Embedded Microcontroller Systems</t>
  </si>
  <si>
    <t>High-level Programming 2</t>
  </si>
  <si>
    <t>Systems and Project Management</t>
  </si>
  <si>
    <t>MET3700A</t>
  </si>
  <si>
    <t>MET3700B</t>
  </si>
  <si>
    <t>MET4305</t>
  </si>
  <si>
    <t>Control Systems</t>
  </si>
  <si>
    <t>MET4505</t>
  </si>
  <si>
    <t>Data Structures</t>
  </si>
  <si>
    <t>MET4604</t>
  </si>
  <si>
    <t>Model-Based Systems Engineering</t>
  </si>
  <si>
    <t>Engineering Statics and Dynamics</t>
  </si>
  <si>
    <t xml:space="preserve">Circuits and Digital Electronics </t>
  </si>
  <si>
    <t>Engineering Systems Modelling and Simulation</t>
  </si>
  <si>
    <t>Design of Mechanical Systems</t>
  </si>
  <si>
    <t>Industrial Automation with Data Analytics</t>
  </si>
  <si>
    <t>MME2261</t>
  </si>
  <si>
    <t>Advanced Materials and Manufacturing Technologies</t>
  </si>
  <si>
    <t>MME3201A</t>
  </si>
  <si>
    <t>Electro-Mechanical Systems Technology</t>
  </si>
  <si>
    <t>MME3291</t>
  </si>
  <si>
    <t>Marine Materials</t>
  </si>
  <si>
    <t>Marine Engineering 1A</t>
  </si>
  <si>
    <t>Naval Architecture 1A</t>
  </si>
  <si>
    <t>Analytical Methods</t>
  </si>
  <si>
    <t>Marine Engineering 2</t>
  </si>
  <si>
    <t>NME2105</t>
  </si>
  <si>
    <t>Marine Structures 1A</t>
  </si>
  <si>
    <t>NME2107</t>
  </si>
  <si>
    <t>Ship Resistance</t>
  </si>
  <si>
    <t>Naval Architecture 2</t>
  </si>
  <si>
    <t>NME3101A</t>
  </si>
  <si>
    <t>NME3103</t>
  </si>
  <si>
    <t>RSE1101</t>
  </si>
  <si>
    <t>Project 1</t>
  </si>
  <si>
    <t>RSE1201</t>
  </si>
  <si>
    <t>C Programming</t>
  </si>
  <si>
    <t>RSE2108</t>
  </si>
  <si>
    <t>Project 3</t>
  </si>
  <si>
    <t>RSE2203</t>
  </si>
  <si>
    <t>Data Structures and Algorithms</t>
  </si>
  <si>
    <t>Analog and Digital Electronics</t>
  </si>
  <si>
    <t>RSE2802</t>
  </si>
  <si>
    <t>Concept Definition</t>
  </si>
  <si>
    <t>RSE3601A</t>
  </si>
  <si>
    <t>RSE3703</t>
  </si>
  <si>
    <t>RSE4018</t>
  </si>
  <si>
    <t>RSE4207</t>
  </si>
  <si>
    <t>Artificial Intelligence and Machine Learning</t>
  </si>
  <si>
    <t>RSE4501</t>
  </si>
  <si>
    <t>Navigation</t>
  </si>
  <si>
    <t>RSE4804</t>
  </si>
  <si>
    <t>System Realization, Deployment and Use</t>
  </si>
  <si>
    <t>SBE1101</t>
  </si>
  <si>
    <t>Fire Engineering Fundamentals</t>
  </si>
  <si>
    <t>HVAC I</t>
  </si>
  <si>
    <t>Fire Safety Management</t>
  </si>
  <si>
    <t>SBE3113A</t>
  </si>
  <si>
    <t>SBE3121</t>
  </si>
  <si>
    <t>Indoor Environment Quality</t>
  </si>
  <si>
    <t>Renewables for Building Application</t>
  </si>
  <si>
    <t>SBE3124</t>
  </si>
  <si>
    <t>SBE3131</t>
  </si>
  <si>
    <t>Applied Crop Science and Urban Farming</t>
  </si>
  <si>
    <t>SBE3132</t>
  </si>
  <si>
    <t>Aquaculture Science and Principles</t>
  </si>
  <si>
    <t>SDE3001</t>
  </si>
  <si>
    <t>Environmental Sustainability Measurement</t>
  </si>
  <si>
    <t>SDE3002</t>
  </si>
  <si>
    <t>Environmental Sustainability Management</t>
  </si>
  <si>
    <t>EDE3016</t>
  </si>
  <si>
    <t>Machine Learning</t>
  </si>
  <si>
    <t>Mod Type</t>
  </si>
  <si>
    <t>Program Code</t>
  </si>
  <si>
    <t>Program Name</t>
  </si>
  <si>
    <t>Tri Taught</t>
  </si>
  <si>
    <t>Module Lead</t>
  </si>
  <si>
    <t>Co-ML</t>
  </si>
  <si>
    <t>UCS</t>
  </si>
  <si>
    <t>ENG</t>
  </si>
  <si>
    <t>BS032</t>
  </si>
  <si>
    <t>BEng (Hons) SIE (Bldg Svc) Sustainable Built Environment (SBE)</t>
  </si>
  <si>
    <t>UCS1001 (SBE)</t>
  </si>
  <si>
    <t>Year 1 Tri 1</t>
  </si>
  <si>
    <t>Radhika Jaidev</t>
  </si>
  <si>
    <t>BS031</t>
  </si>
  <si>
    <t>BEng (Hons) SIE (Land) Engineering Systems (ESE) &amp; CBWL</t>
  </si>
  <si>
    <t>UCS1001 (ESE)</t>
  </si>
  <si>
    <t>BJ006</t>
  </si>
  <si>
    <t>BEng (Hons) Electrical Pwr Eng</t>
  </si>
  <si>
    <t>UCS1001 (EPE)</t>
  </si>
  <si>
    <t>BS021</t>
  </si>
  <si>
    <t>BEng Robotics Systems</t>
  </si>
  <si>
    <t>UCS1001 (RSE)</t>
  </si>
  <si>
    <t>Nazerene Ibrahim</t>
  </si>
  <si>
    <t>BS012</t>
  </si>
  <si>
    <t>BEng (Hons) Aircraft Sys Eng</t>
  </si>
  <si>
    <t>UCS1001 (ASE)</t>
  </si>
  <si>
    <t>BJ024</t>
  </si>
  <si>
    <t>BEng (Hons) Naval Arc &amp; Marine</t>
  </si>
  <si>
    <t>UCS1001 (NAME)</t>
  </si>
  <si>
    <t>Chris Bedwell</t>
  </si>
  <si>
    <t>BJ007</t>
  </si>
  <si>
    <t>BEng (Hons) MDME</t>
  </si>
  <si>
    <t>UCS1001 (MDME)</t>
  </si>
  <si>
    <t>Brad Blackstone</t>
  </si>
  <si>
    <t>BJ014</t>
  </si>
  <si>
    <t>BEng (Hons) Mechanical Eng</t>
  </si>
  <si>
    <t>UCS1001 (MEC)</t>
  </si>
  <si>
    <t>UDE</t>
  </si>
  <si>
    <t>UWM - Y1</t>
  </si>
  <si>
    <t>EPE/Y2</t>
  </si>
  <si>
    <t>1,2,3,4,5</t>
  </si>
  <si>
    <t>THAIYAL NAAYAGI RAMASAMY .</t>
  </si>
  <si>
    <t>6,11</t>
  </si>
  <si>
    <t>Power &amp; Energy Lab (E6-05-03)</t>
  </si>
  <si>
    <t>CAO SHUYU</t>
  </si>
  <si>
    <t>8,9</t>
  </si>
  <si>
    <t>Electric Propulsion Lab (E6-06-12)</t>
  </si>
  <si>
    <t>ANURAG SHARMA .</t>
  </si>
  <si>
    <t>WANG XIANPING</t>
  </si>
  <si>
    <t>P1,P2</t>
  </si>
  <si>
    <t>MUHAMMAD RAMADAN SAIFUDDIN .</t>
  </si>
  <si>
    <t>AUDREY ANG SIEW LIN</t>
  </si>
  <si>
    <t>P1 to P3</t>
  </si>
  <si>
    <t>1,2,3,4,5,6,9,10,11,12,13</t>
  </si>
  <si>
    <t>LEE SZE SING .</t>
  </si>
  <si>
    <t>Computer Room (E2-07-01)</t>
  </si>
  <si>
    <t>SBE / Y2</t>
  </si>
  <si>
    <t>Heat Transfer &amp; Thermodynamics Lab (E6-06-11)</t>
  </si>
  <si>
    <t>DUBEY SWAPNIL</t>
  </si>
  <si>
    <t>TAN JOCK TOON SIMON</t>
  </si>
  <si>
    <t>Adjust group size slightly depending total numbe - e.g. increase with 1 or 2</t>
  </si>
  <si>
    <t>Adjust group size slightly depending total numbe - e.g. increase with 1 or 3</t>
  </si>
  <si>
    <t>Adjust group size slightly depending total numbe - e.g. increase with 1 or 4</t>
  </si>
  <si>
    <t>Adjust group size slightly depending total numbe - e.g. increase with 1 or 5</t>
  </si>
  <si>
    <t>Adjust group size slightly depending total numbe - e.g. increase with 1 or 6</t>
  </si>
  <si>
    <t>Adjust group size slightly depending total numbe - e.g. increase with 1 or 7</t>
  </si>
  <si>
    <t>Adjust group size slightly depending total numbe - e.g. increase with 1 or 8</t>
  </si>
  <si>
    <t>Adjust group size slightly depending total numbe - e.g. increase with 1 or 9</t>
  </si>
  <si>
    <t>Adjust group size slightly depending total numbe - e.g. increase with 1 or 10</t>
  </si>
  <si>
    <t>Specialisation - P1</t>
  </si>
  <si>
    <t>Fire Testing Lab (E6-06-06)</t>
  </si>
  <si>
    <t>AN HUI</t>
  </si>
  <si>
    <t>CHAI OON HENG</t>
  </si>
  <si>
    <t>LOW ZHONGWEI</t>
  </si>
  <si>
    <t>Specialisation - P2</t>
  </si>
  <si>
    <t>Specialisation - P3</t>
  </si>
  <si>
    <t>Buffer - depending on Selection of specialisation</t>
  </si>
  <si>
    <t>Specialisation - P4</t>
  </si>
  <si>
    <t>DHIVYA SAMPATH KUMAR</t>
  </si>
  <si>
    <t>Specialisation - P5</t>
  </si>
  <si>
    <t>EEE/MSTR</t>
  </si>
  <si>
    <t>EEE6006</t>
  </si>
  <si>
    <t>TBC</t>
  </si>
  <si>
    <t>11,12</t>
  </si>
  <si>
    <t>SIVANEASAN BALA KRISHNAN</t>
  </si>
  <si>
    <t>EEE6110 - Lecture &amp; Lab</t>
  </si>
  <si>
    <t>ANG SIEW LIN AUDREY</t>
  </si>
  <si>
    <t>EEE6004 - Lecture &amp; Lab</t>
  </si>
  <si>
    <t>2,3,4,5,6,7,8,9,10,11,12,13</t>
  </si>
  <si>
    <t>TAN KUAN TAK</t>
  </si>
  <si>
    <t>UWM - Y2</t>
  </si>
  <si>
    <t>DSC/Y2</t>
  </si>
  <si>
    <t>ALL</t>
  </si>
  <si>
    <t>Any Seminar Room</t>
  </si>
  <si>
    <t>AF 1</t>
  </si>
  <si>
    <t>YANG CHANGJUN</t>
  </si>
  <si>
    <t>LIN WEIDONG</t>
  </si>
  <si>
    <t>2,3,4,5,6</t>
  </si>
  <si>
    <t>AF 2</t>
  </si>
  <si>
    <t>8,9,10,11</t>
  </si>
  <si>
    <t>AF 3</t>
  </si>
  <si>
    <t>12,13</t>
  </si>
  <si>
    <t>UCS &amp; UDE - Y1</t>
  </si>
  <si>
    <t>ASE/Y1</t>
  </si>
  <si>
    <t>Electronics Lab (E6-07-10)</t>
  </si>
  <si>
    <t>KEH NGEN FATT</t>
  </si>
  <si>
    <t>LEE KWEE HIONG</t>
  </si>
  <si>
    <t>CHUA CHAI SIEW</t>
  </si>
  <si>
    <t>Y1</t>
  </si>
  <si>
    <t>Engineering Physics Lab (E6-07-08)</t>
  </si>
  <si>
    <t>LIONG YUSHAN,  KYRIN JO</t>
  </si>
  <si>
    <t>WU YAQUN</t>
  </si>
  <si>
    <t>GOH KHENG LIM .</t>
  </si>
  <si>
    <t>4,6,11,13</t>
  </si>
  <si>
    <t>HOWARD TANG</t>
  </si>
  <si>
    <t>Y2</t>
  </si>
  <si>
    <t>P1,P2,P3,P4</t>
  </si>
  <si>
    <t>1,2,3,4,5,6</t>
  </si>
  <si>
    <t>Engineering Graphics Lab 1 (E6-06-08) and Engineering Graphics Lab 2 (E6-06-09)</t>
  </si>
  <si>
    <t>LI XINWEI .</t>
  </si>
  <si>
    <t xml:space="preserve"> CHONG JUN JIE .</t>
  </si>
  <si>
    <t>Automation &amp; Robotics Lab (W3-01-06)</t>
  </si>
  <si>
    <t>LIM CHUN YEE</t>
  </si>
  <si>
    <t>YOHANES DAUD</t>
  </si>
  <si>
    <t>YUAN QILONG</t>
  </si>
  <si>
    <t>MANICKAM BALAKRISHNAN</t>
  </si>
  <si>
    <t>1,2,3,4</t>
  </si>
  <si>
    <t>Electronics Lab (E6-07-09)</t>
  </si>
  <si>
    <t>FRANCIS NG</t>
  </si>
  <si>
    <t>P3,P4</t>
  </si>
  <si>
    <t>5,6,8,9,10,11,12,13</t>
  </si>
  <si>
    <t>Heat Transfer &amp; Thermodynamics (E6-06-11)</t>
  </si>
  <si>
    <t>KIEW CHOON MENG</t>
  </si>
  <si>
    <t>EDE/Y1</t>
  </si>
  <si>
    <t>9,10</t>
  </si>
  <si>
    <t>Electronics Testing &amp; Measurement Lab (E6-08-08)</t>
  </si>
  <si>
    <t>TAN SEE TECK</t>
  </si>
  <si>
    <t>8,9,10</t>
  </si>
  <si>
    <t>EDE/Y2</t>
  </si>
  <si>
    <t>1,2,3,4,5,6,8,9,10,11,12,13</t>
  </si>
  <si>
    <t>LAM KUET LEONG</t>
  </si>
  <si>
    <t>two Labs sessions back to back any time</t>
  </si>
  <si>
    <t>5,9,10</t>
  </si>
  <si>
    <t>Control &amp; Instrumentation Lab (E6-08-09)</t>
  </si>
  <si>
    <t>PAUL POON KWOK FUNG</t>
  </si>
  <si>
    <t>EDE/Y3</t>
  </si>
  <si>
    <t>Y3</t>
  </si>
  <si>
    <t>TAY CHUAN BENG</t>
  </si>
  <si>
    <t>NEELAKANTAM VARADARAJULU VENKATARAYALU</t>
  </si>
  <si>
    <t>OHNMAR KYAW</t>
  </si>
  <si>
    <t>Engineering Simulation Lab (E6-06-10)</t>
  </si>
  <si>
    <t>CVE/Y1</t>
  </si>
  <si>
    <t>9,10,11</t>
  </si>
  <si>
    <t>Construction and Naval Architecture Lab (E5-01-01)</t>
  </si>
  <si>
    <t>UGS - Subcontractor</t>
  </si>
  <si>
    <t>SIAU KING ING</t>
  </si>
  <si>
    <t>CVE/Y2</t>
  </si>
  <si>
    <t>3,5</t>
  </si>
  <si>
    <t>JOEL TAN PHEK SOON</t>
  </si>
  <si>
    <t>LT - Lecture</t>
  </si>
  <si>
    <t>ENG External Venue - ILab</t>
  </si>
  <si>
    <t>Construction and Naval Architecture Lab (E5-01-01), Geotechnical Lab (E6-06-05)</t>
  </si>
  <si>
    <t>Computer Room (E2-07-01) - MATLAB/ Simulink</t>
  </si>
  <si>
    <t>NAME/Y1</t>
  </si>
  <si>
    <t>Composite &amp; Mechanical Testing lab (E6-08-05)</t>
  </si>
  <si>
    <t>ZHANG LINYUN</t>
  </si>
  <si>
    <t>YONG KIAN LEONG</t>
  </si>
  <si>
    <t>Jake Low</t>
  </si>
  <si>
    <t>Composite &amp; Mechanical Testing lab (E6-08-05) and Construction and Naval Architecture Lab (E5-01-01)</t>
  </si>
  <si>
    <t>3,4</t>
  </si>
  <si>
    <t>ENG External Venue</t>
  </si>
  <si>
    <t>IVAN TAM CHI KEUNG .</t>
  </si>
  <si>
    <t>3,4,5,6,8</t>
  </si>
  <si>
    <t>CHEN HAO .</t>
  </si>
  <si>
    <t>NIU XIAOQI</t>
  </si>
  <si>
    <t>Neo Ser Hua</t>
  </si>
  <si>
    <t>NAME/Y2</t>
  </si>
  <si>
    <t>P1 to P2</t>
  </si>
  <si>
    <t>Any Seminar Room near E2 level 4, ProjectHub (Prototype) E2-04-01</t>
  </si>
  <si>
    <t>MICHAEL PILGAARD NIELSEN</t>
  </si>
  <si>
    <t>TEO CHING LEONG</t>
  </si>
  <si>
    <t>LIM YAU SHIANG</t>
  </si>
  <si>
    <t>P3 to P4</t>
  </si>
  <si>
    <t>ProjectHub (Prototype) E2-04-01</t>
  </si>
  <si>
    <t>CHAN TZE JIN</t>
  </si>
  <si>
    <t>Fluid Mechanics Lab (E5-1M-01)</t>
  </si>
  <si>
    <t>NG CHUNWEE</t>
  </si>
  <si>
    <t xml:space="preserve">P3 to P4 </t>
  </si>
  <si>
    <t>LIU BIN .</t>
  </si>
  <si>
    <t>2,4,6</t>
  </si>
  <si>
    <t>Remark from VC</t>
  </si>
  <si>
    <t>5,9</t>
  </si>
  <si>
    <t>CHIA BOON CHYE</t>
  </si>
  <si>
    <t>CHUA CHOONG HIANG STEVEN</t>
  </si>
  <si>
    <t>Common Year</t>
  </si>
  <si>
    <t>https://www.singaporetech.edu.sg/admissions/undergraduate/academic-calendar-sit-and-joint-programmes</t>
  </si>
  <si>
    <t>All</t>
  </si>
  <si>
    <t>Online</t>
  </si>
  <si>
    <t>2,4,6,8,10,12</t>
  </si>
  <si>
    <t>any available Seminar room</t>
  </si>
  <si>
    <t>TANG LAI MENG .</t>
  </si>
  <si>
    <t xml:space="preserve"> LIM YAU SHIANG</t>
  </si>
  <si>
    <t>MEC core module</t>
  </si>
  <si>
    <t>10.30am</t>
  </si>
  <si>
    <t>JOSHUA CHAN TZE JIN</t>
  </si>
  <si>
    <t>TAN CHENG HOCK ALFRED</t>
  </si>
  <si>
    <t>1,2,3,8,9</t>
  </si>
  <si>
    <t>Engineering Graphics Lab 1 (E6-06-08), Engineering Graphics Lab 2 (E6-06-09)</t>
  </si>
  <si>
    <t>ANG YUN MEI, ELISA</t>
  </si>
  <si>
    <t>Design Specialization - ALL</t>
  </si>
  <si>
    <t>GOH SUK MENG</t>
  </si>
  <si>
    <t>Design Specialization</t>
  </si>
  <si>
    <t>1,2,3,4,5,6,9,10,11,12</t>
  </si>
  <si>
    <t>JOLLY ATIT SHAH .</t>
  </si>
  <si>
    <t>8,13</t>
  </si>
  <si>
    <t>Mechatronics Specialization - ALL</t>
  </si>
  <si>
    <t>Any Seminar Room at E6 block</t>
  </si>
  <si>
    <t>FAN HONG  .</t>
  </si>
  <si>
    <t>Mechatronics Specialization</t>
  </si>
  <si>
    <t>Mechatronics Specialization - P1</t>
  </si>
  <si>
    <t>VINCENT CHAN SIANG HUAT</t>
  </si>
  <si>
    <t>Mechatronics Specialization - P2</t>
  </si>
  <si>
    <t>Aerospace Specialization - P1</t>
  </si>
  <si>
    <t>GIANMARCO RADICE</t>
  </si>
  <si>
    <t>AeroSpace Specialization</t>
  </si>
  <si>
    <t>Aerospace Specialization - P2</t>
  </si>
  <si>
    <t>8,10,11</t>
  </si>
  <si>
    <t>HENRIK HESSE</t>
  </si>
  <si>
    <t>Aerospace Specialization - P3</t>
  </si>
  <si>
    <t>Gas Turbine &amp; Engine Lab (E6-09-07)</t>
  </si>
  <si>
    <t>CHEW HAN GUAN</t>
  </si>
  <si>
    <t>METS/Y2</t>
  </si>
  <si>
    <t>System Integration and Assembly Lab (E6-06-13)</t>
  </si>
  <si>
    <t>DARRYL LAM WEI CHENG</t>
  </si>
  <si>
    <t>LEE NGEE HOWE</t>
  </si>
  <si>
    <t>NG KIAN ANN</t>
  </si>
  <si>
    <t>KHOO TECK PING .</t>
  </si>
  <si>
    <t>TANG LIANG .</t>
  </si>
  <si>
    <t>1 ACE Room with power points for 65 pax</t>
  </si>
  <si>
    <t>FONG FOO HOONG .</t>
  </si>
  <si>
    <t>JEREMY CHEW PING .</t>
  </si>
  <si>
    <t>METS/Y4</t>
  </si>
  <si>
    <t>MET4004/SEM4007</t>
  </si>
  <si>
    <t>TAN EE KWONG</t>
  </si>
  <si>
    <t>HWEE CHOO LIAW .</t>
  </si>
  <si>
    <t>Lecture/Lab</t>
  </si>
  <si>
    <t xml:space="preserve">SERGE LANDRY ( AF) </t>
  </si>
  <si>
    <t>RSE/Y1</t>
  </si>
  <si>
    <t xml:space="preserve">RSE1101 </t>
  </si>
  <si>
    <t>1,2,3,4,5,6,8,9,10,11,12,14</t>
  </si>
  <si>
    <t>RSE/Y2</t>
  </si>
  <si>
    <t>RSE2108 – Lecture &amp; Lab</t>
  </si>
  <si>
    <t>KENICHI KATO</t>
  </si>
  <si>
    <t>ANG CHEE KHIAN</t>
  </si>
  <si>
    <t>THNG LI-JIN IAN</t>
  </si>
  <si>
    <t>1,2,3,4,5,6,9,10,11,12,14</t>
  </si>
  <si>
    <t>Engineering Graphics Lab 2 (E6-06-09), LT</t>
  </si>
  <si>
    <t>QUAH CHEE KWANG</t>
  </si>
  <si>
    <t>AF (JONATHAN LIM, TENTATIVE)</t>
  </si>
  <si>
    <t>MDME / Y1</t>
  </si>
  <si>
    <t>TAY NGUAN HWEE, STEVEN</t>
  </si>
  <si>
    <t>HO HUNG YI</t>
  </si>
  <si>
    <t>ENG1010 - Quiz 1, 3</t>
  </si>
  <si>
    <t>5,13</t>
  </si>
  <si>
    <t>ENG1010 - Quiz 2</t>
  </si>
  <si>
    <t>ESE/ MDME</t>
  </si>
  <si>
    <t>Surface Engineering Lab (E6-08-06)</t>
  </si>
  <si>
    <t>LOW ZHENG YANG</t>
  </si>
  <si>
    <t>SHEN LU</t>
  </si>
  <si>
    <t>SOH CHEW BENG</t>
  </si>
  <si>
    <t>MET/Y2</t>
  </si>
  <si>
    <t>5,10</t>
  </si>
  <si>
    <t>CHEW CHOON LEE</t>
  </si>
  <si>
    <t>LIM CHEN CHONG (LIN ZHICHANG)</t>
  </si>
  <si>
    <t>ESE/Y2</t>
  </si>
  <si>
    <t>Non-Destructive Testing Lab (W3-01-03)</t>
  </si>
  <si>
    <t>RAJKUMAR S/O ABDUL RASHEED KHAN</t>
  </si>
  <si>
    <t>LIEW CHIN KIAN</t>
  </si>
  <si>
    <t>ESE/CBWL</t>
  </si>
  <si>
    <t>CBWL</t>
  </si>
  <si>
    <t>MEC2123 - Workshop</t>
  </si>
  <si>
    <t>MEC/MSTR</t>
  </si>
  <si>
    <t>MEC6018</t>
  </si>
  <si>
    <t>Sustainable Building Lab (E2-RF-01)</t>
  </si>
  <si>
    <t>Chien Szu-Cheng</t>
  </si>
  <si>
    <t>5,6,8</t>
  </si>
  <si>
    <t>General Computer Room</t>
  </si>
  <si>
    <t>AF (Chris TEO)</t>
  </si>
  <si>
    <t>Computer Room (E2-07-01-SR259  &amp; E2-07-02-SR260), LT</t>
  </si>
  <si>
    <t>5,8,9,10,11,12</t>
  </si>
  <si>
    <t>6 (PH Make-Up)</t>
  </si>
  <si>
    <t>EDE Y1 – 70 pax</t>
  </si>
  <si>
    <t>P1 – EDE</t>
  </si>
  <si>
    <t>1,2,3,4,5,6,8,9,10,12,13</t>
  </si>
  <si>
    <t xml:space="preserve">Any ACE Room in E2 or E6 (minimum 1 power point per student) – to be run at individual Programme Level </t>
  </si>
  <si>
    <t>NADARAJAN SIVAKUMAR</t>
  </si>
  <si>
    <t>Electronics Lab (E6-07-09) – Combined with EPE</t>
  </si>
  <si>
    <t>P2 – EDE</t>
  </si>
  <si>
    <t>EPE Y1 – 80 pax</t>
  </si>
  <si>
    <t>P1 - EPE</t>
  </si>
  <si>
    <t>Electronics Lab (E6-07-09) – Combined with EDE</t>
  </si>
  <si>
    <t>P2 - EPE</t>
  </si>
  <si>
    <t>ESE Y1 – 65 pax</t>
  </si>
  <si>
    <t>P1 - ESE</t>
  </si>
  <si>
    <t>SABU EMMANUEL</t>
  </si>
  <si>
    <t>Electronics Lab (E6-07-09) – Combined with SBE</t>
  </si>
  <si>
    <t>P2 - ESE</t>
  </si>
  <si>
    <t>SBE Y1 – 100 pax</t>
  </si>
  <si>
    <t>P1 – SBE</t>
  </si>
  <si>
    <t>NGUYEN THI QUI</t>
  </si>
  <si>
    <t>Electronics Lab (E6-07-09) – Combined with ESE</t>
  </si>
  <si>
    <t>P2 – SBE</t>
  </si>
  <si>
    <t>Sun Wai Hoong (AF)</t>
  </si>
  <si>
    <t>EEE + ISE</t>
  </si>
  <si>
    <t>ENG1102</t>
  </si>
  <si>
    <t>1,3,4,5,6,8,9,10,11,12,13</t>
  </si>
  <si>
    <t>Chua Thian Poh Discovery Hub 1  (E2-03-01)</t>
  </si>
  <si>
    <t>System Integration &amp; Assembly Lab (E6-06-13)</t>
  </si>
  <si>
    <t>ENG1103</t>
  </si>
  <si>
    <t>1,2,3,4,5,6,8,9,10</t>
  </si>
  <si>
    <t>ENG1104</t>
  </si>
  <si>
    <t>P1 + P2</t>
  </si>
  <si>
    <t>Edge Computing Lab (E2-05-05)</t>
  </si>
  <si>
    <t>NG KOK CHAN (DERIC)</t>
  </si>
  <si>
    <t>AW KOK SENG</t>
  </si>
  <si>
    <t>1,2,3,4,5,6,8,9,10,13</t>
  </si>
  <si>
    <t>MEC6017</t>
  </si>
  <si>
    <t>4,5,6,7</t>
  </si>
  <si>
    <t>Fadeyi Moshood Olawale</t>
  </si>
  <si>
    <t>Simon Tan Jock Soon</t>
  </si>
  <si>
    <t>Lyndy</t>
  </si>
  <si>
    <t>Hui Yee</t>
  </si>
  <si>
    <t xml:space="preserve">3,5,9,11 </t>
  </si>
  <si>
    <t>6,11,13</t>
  </si>
  <si>
    <t xml:space="preserve">1,2,3,4,5,6,9,10,11,12,13 </t>
  </si>
  <si>
    <t>5,6</t>
  </si>
  <si>
    <t>Surface Engineering Lab (E6-08-06), Materials Engineering Lab  (E6-08-07)</t>
  </si>
  <si>
    <t>4,8,12</t>
  </si>
  <si>
    <t>1,3,4,5,6,8,9,10,11,12,14</t>
  </si>
  <si>
    <t xml:space="preserve"> </t>
  </si>
  <si>
    <t>3,4,5</t>
  </si>
  <si>
    <t>6,10</t>
  </si>
  <si>
    <t>2, 3, 6, 9, 10, 11, 12, 13</t>
  </si>
  <si>
    <t>Agritech Lab (E3-1M-07)</t>
  </si>
  <si>
    <t>AF</t>
  </si>
  <si>
    <t>Ng Chow Goon</t>
  </si>
  <si>
    <t>Microbiology Lab (W3-03-01)</t>
  </si>
  <si>
    <t>4, 5</t>
  </si>
  <si>
    <t>External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</si>
</sst>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u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EE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9" fontId="1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19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/>
    <xf numFmtId="0" fontId="0" fillId="0" borderId="3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/>
    <xf numFmtId="0" fontId="8" fillId="0" borderId="0" xfId="0" applyFont="1"/>
    <xf numFmtId="0" fontId="10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9" fontId="1" fillId="0" borderId="0" xfId="2" applyFont="1" applyAlignment="1">
      <alignment horizontal="center"/>
    </xf>
    <xf numFmtId="9" fontId="0" fillId="0" borderId="0" xfId="2" applyFont="1" applyAlignment="1">
      <alignment horizont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10" fillId="3" borderId="0" xfId="0" applyFont="1" applyFill="1" applyAlignment="1">
      <alignment vertical="center"/>
    </xf>
    <xf numFmtId="0" fontId="0" fillId="2" borderId="0" xfId="0" applyFill="1"/>
    <xf numFmtId="0" fontId="0" fillId="4" borderId="0" xfId="0" applyFill="1"/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1" xfId="0" applyFont="1" applyBorder="1" applyAlignment="1">
      <alignment horizontal="center" vertical="center"/>
    </xf>
    <xf numFmtId="1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49" fontId="4" fillId="0" borderId="0" xfId="0" applyNumberFormat="1" applyFont="1" applyAlignment="1">
      <alignment horizontal="center" wrapText="1"/>
    </xf>
    <xf numFmtId="0" fontId="10" fillId="0" borderId="1" xfId="0" applyFont="1" applyBorder="1" applyAlignment="1">
      <alignment horizontal="center"/>
    </xf>
    <xf numFmtId="18" fontId="0" fillId="0" borderId="1" xfId="0" applyNumberFormat="1" applyBorder="1" applyAlignment="1">
      <alignment horizontal="center" vertical="top"/>
    </xf>
    <xf numFmtId="0" fontId="10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>
      <alignment horizontal="center"/>
    </xf>
    <xf numFmtId="0" fontId="10" fillId="6" borderId="1" xfId="0" applyFont="1" applyFill="1" applyBorder="1" applyAlignment="1">
      <alignment horizontal="center" vertical="top"/>
    </xf>
    <xf numFmtId="0" fontId="0" fillId="6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0" xfId="0" applyFill="1" applyAlignment="1">
      <alignment horizontal="center"/>
    </xf>
    <xf numFmtId="0" fontId="0" fillId="7" borderId="1" xfId="0" applyFill="1" applyBorder="1" applyAlignment="1">
      <alignment horizontal="center" vertical="top"/>
    </xf>
    <xf numFmtId="0" fontId="0" fillId="3" borderId="0" xfId="0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9" fontId="0" fillId="0" borderId="1" xfId="2" applyFont="1" applyBorder="1" applyAlignment="1">
      <alignment horizontal="center" vertical="center"/>
    </xf>
    <xf numFmtId="9" fontId="0" fillId="0" borderId="1" xfId="2" applyFont="1" applyBorder="1" applyAlignment="1">
      <alignment vertical="center"/>
    </xf>
    <xf numFmtId="0" fontId="4" fillId="0" borderId="0" xfId="0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0" fontId="0" fillId="0" borderId="0" xfId="0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0" xfId="0" applyFont="1" applyAlignment="1">
      <alignment horizontal="center"/>
    </xf>
    <xf numFmtId="0" fontId="17" fillId="0" borderId="0" xfId="3" applyFont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" fontId="10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top"/>
    </xf>
    <xf numFmtId="0" fontId="10" fillId="0" borderId="1" xfId="0" applyFont="1" applyBorder="1" applyAlignment="1">
      <alignment vertical="center"/>
    </xf>
    <xf numFmtId="0" fontId="0" fillId="10" borderId="1" xfId="0" applyFill="1" applyBorder="1" applyAlignment="1">
      <alignment horizontal="center" vertical="top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0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15" fillId="10" borderId="1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top"/>
    </xf>
  </cellXfs>
  <cellStyles count="4">
    <cellStyle name="Hyperlink" xfId="3" builtinId="8"/>
    <cellStyle name="Normal" xfId="0" builtinId="0"/>
    <cellStyle name="Normal 2" xfId="1" xr:uid="{00000000-0005-0000-0000-000001000000}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F6E56C1F-7B23-4320-A1ED-AB8FF4532999}">
    <Anchor>
      <Comment id="{A643E4DE-1706-4CAF-8199-CFA1A424B165}"/>
    </Anchor>
    <History>
      <Event time="2025-08-07T08:10:50.19" id="{EFD9A255-6A53-4D9B-B67E-2C47BCA5483F}">
        <Attribution userId="S::A102425@singaporetech.edu.sg::1f39ade5-3fee-409d-bfd1-46ed0ce94df6" userName="Tay Chia Ling" userProvider="AD"/>
        <Anchor>
          <Comment id="{BFE78AAE-9E31-4563-AAF7-3A25A48BF944}"/>
        </Anchor>
        <Create/>
      </Event>
      <Event time="2025-08-07T08:10:50.19" id="{9A9092E9-0158-4C2C-8FD2-BDE3155BB6FC}">
        <Attribution userId="S::A102425@singaporetech.edu.sg::1f39ade5-3fee-409d-bfd1-46ed0ce94df6" userName="Tay Chia Ling" userProvider="AD"/>
        <Anchor>
          <Comment id="{BFE78AAE-9E31-4563-AAF7-3A25A48BF944}"/>
        </Anchor>
        <Assign userId="S::A101438@singaporetech.edu.sg::588cd935-4974-4eef-a4e5-ed77a2fed357" userName="Candice Chua Pey Shyan" userProvider="AD"/>
      </Event>
      <Event time="2025-08-07T08:10:50.19" id="{FDB46343-F41E-4829-8510-E6050858FA77}">
        <Attribution userId="S::A102425@singaporetech.edu.sg::1f39ade5-3fee-409d-bfd1-46ed0ce94df6" userName="Tay Chia Ling" userProvider="AD"/>
        <Anchor>
          <Comment id="{BFE78AAE-9E31-4563-AAF7-3A25A48BF944}"/>
        </Anchor>
        <SetTitle title="@Candice Chua Pey Shyan - Hi Candice, noted that Deric’s name not included in Tri 1 Timetable, can help to add please? Thanks!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1387929</xdr:colOff>
      <xdr:row>25</xdr:row>
      <xdr:rowOff>117928</xdr:rowOff>
    </xdr:from>
    <xdr:to>
      <xdr:col>10</xdr:col>
      <xdr:colOff>1729855</xdr:colOff>
      <xdr:row>35</xdr:row>
      <xdr:rowOff>29117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81C9976F-B4D2-F37F-44B5-F112565DC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1286" y="5234214"/>
          <a:ext cx="5759746" cy="17399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257175</xdr:colOff>
      <xdr:row>4</xdr:row>
      <xdr:rowOff>47625</xdr:rowOff>
    </xdr:from>
    <xdr:to>
      <xdr:col>22</xdr:col>
      <xdr:colOff>352425</xdr:colOff>
      <xdr:row>891</xdr:row>
      <xdr:rowOff>141273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79F1F9B-5ED7-44B8-9A9E-65AFB190B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70225" y="1362075"/>
          <a:ext cx="2536825" cy="4648199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Kenichi Kato" id="{83F04ED2-A53F-4C5D-BFC4-69FD65C87724}" userId="A100398@singaporetech.edu.sg" providerId="PeoplePicker"/>
  <person displayName="Candice Chua Pey Shyan" id="{EDF1E99A-2083-4D44-A9A8-9F145BB353EC}" userId="A101438@singaporetech.edu.sg" providerId="PeoplePicker"/>
  <person displayName="Lim Yau Shiang" id="{66F37350-2405-4C69-821B-F5F8BB903083}" userId="S::a88566@singaporetech.edu.sg::86d1308a-6e2a-44f1-a45d-9b6396226a56" providerId="AD"/>
  <person displayName="Candice Chua Pey Shyan" id="{B8E003A4-AFBB-4671-BE56-1365BB8FFC08}" userId="S::A101438@singaporetech.edu.sg::588cd935-4974-4eef-a4e5-ed77a2fed357" providerId="AD"/>
  <person displayName="Tay Chia Ling" id="{0F9C5383-88A2-497B-983E-4565C97782EE}" userId="S::A102425@singaporetech.edu.sg::1f39ade5-3fee-409d-bfd1-46ed0ce94df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5-05-30T05:41:53.14" personId="{0F9C5383-88A2-497B-983E-4565C97782EE}" id="{A85940E6-98D8-4EAA-B174-D86924038FC5}">
    <text>Updated to Fri due to Staff Clash</text>
  </threadedComment>
  <threadedComment ref="E4" dT="2025-05-19T05:05:25.55" personId="{0F9C5383-88A2-497B-983E-4565C97782EE}" id="{E36808B3-1D51-4C26-AB8B-39947741D415}">
    <text>Updated</text>
  </threadedComment>
  <threadedComment ref="H4" dT="2025-06-03T10:06:02.60" personId="{B8E003A4-AFBB-4671-BE56-1365BB8FFC08}" id="{246852B2-5DF6-4ADB-8997-A17F5F8B06F2}">
    <text>Clash with UCS, can change to Can change to Wk 11, 2pm?</text>
  </threadedComment>
  <threadedComment ref="E5" dT="2025-05-19T05:05:34.20" personId="{0F9C5383-88A2-497B-983E-4565C97782EE}" id="{A69AE404-4836-4BAF-AC09-D2EAF8F90531}">
    <text>Updated</text>
  </threadedComment>
  <threadedComment ref="F5" dT="2025-05-19T05:05:42.87" personId="{0F9C5383-88A2-497B-983E-4565C97782EE}" id="{C923ACB5-E8D1-4F79-8C61-FF656D807555}">
    <text>Updated</text>
  </threadedComment>
  <threadedComment ref="F5" dT="2025-06-04T02:58:09.04" personId="{0F9C5383-88A2-497B-983E-4565C97782EE}" id="{E07C5269-E13F-47FD-B56B-F13CB49BE021}" parentId="{C923ACB5-E8D1-4F79-8C61-FF656D807555}">
    <text>Sorry this should be 9 AM instead of 1 PM</text>
  </threadedComment>
  <threadedComment ref="H5" dT="2025-06-03T10:06:10.42" personId="{B8E003A4-AFBB-4671-BE56-1365BB8FFC08}" id="{82207F91-95B6-49D3-BD6A-D594997D9349}">
    <text xml:space="preserve">Clash with UCS, can change to Can change to Wk 12, 2pm?
</text>
  </threadedComment>
  <threadedComment ref="H5" dT="2025-06-04T02:57:51.53" personId="{0F9C5383-88A2-497B-983E-4565C97782EE}" id="{5D02A8E1-3224-4C1A-AB2C-6AB2855905B6}" parentId="{82207F91-95B6-49D3-BD6A-D594997D9349}">
    <text>Sorry this shld be Wk 10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6" dT="2025-07-08T06:55:14.74" personId="{0F9C5383-88A2-497B-983E-4565C97782EE}" id="{88E62A48-0221-4763-96EE-1135A38DEDA2}">
    <text>Updated the Wks</text>
  </threadedComment>
  <threadedComment ref="E22" dT="2025-05-23T10:24:35.67" personId="{0F9C5383-88A2-497B-983E-4565C97782EE}" id="{0732EDA2-9328-4D1F-8009-4919E5054CB1}">
    <text>Updated from Fri to Wed</text>
  </threadedComment>
  <threadedComment ref="E23" dT="2025-05-23T10:24:48.02" personId="{0F9C5383-88A2-497B-983E-4565C97782EE}" id="{76DD2D23-F9AF-4C57-9ED6-A65D013B7EFF}">
    <text>Updated from Fri PM to Thu AM</text>
  </threadedComment>
  <threadedComment ref="F23" dT="2025-05-23T10:24:57.94" personId="{0F9C5383-88A2-497B-983E-4565C97782EE}" id="{E4219893-9753-4796-96EF-AFF96762F6F0}">
    <text>Updated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8" dT="2025-06-23T03:31:35.32" personId="{0F9C5383-88A2-497B-983E-4565C97782EE}" id="{E18B697D-F5B3-458B-8D39-ECE5F4582757}">
    <text>Added</text>
  </threadedComment>
  <threadedComment ref="F21" dT="2025-06-19T07:18:19.31" personId="{0F9C5383-88A2-497B-983E-4565C97782EE}" id="{9189ECF1-5EDB-42DC-918B-77868DA185F0}">
    <text>Updated to Tues across</text>
  </threadedComment>
  <threadedComment ref="F21" dT="2025-06-30T06:32:02.35" personId="{0F9C5383-88A2-497B-983E-4565C97782EE}" id="{F79DED16-9557-4614-A19A-AC9FB386BD1E}" parentId="{9189ECF1-5EDB-42DC-918B-77868DA185F0}">
    <text>Updated to Thu</text>
  </threadedComment>
  <threadedComment ref="I21" dT="2025-06-19T07:08:44.10" personId="{0F9C5383-88A2-497B-983E-4565C97782EE}" id="{9803CD76-531C-40EF-B965-192CE5DF909D}">
    <text>Updated from 3,4,8,11 to 3,5,9,11</text>
  </threadedComment>
  <threadedComment ref="K21" dT="2025-06-30T06:32:17.80" personId="{0F9C5383-88A2-497B-983E-4565C97782EE}" id="{26FE878D-7705-407A-8A5D-34A09BA556F6}">
    <text>Remove Faculty, Prof Venkat</text>
  </threadedComment>
  <threadedComment ref="F22" dT="2025-06-19T07:18:19.31" personId="{0F9C5383-88A2-497B-983E-4565C97782EE}" id="{BD8CF95E-A5B1-423A-972E-DAE16A0CFC2C}">
    <text>Updated to Tues across</text>
  </threadedComment>
  <threadedComment ref="I22" dT="2025-06-19T07:08:53.55" personId="{0F9C5383-88A2-497B-983E-4565C97782EE}" id="{04429B62-5EA9-4D31-BAC4-84F2CCABCA02}">
    <text>Updated to Wk 8</text>
  </threadedComment>
  <threadedComment ref="K22" dT="2025-06-30T06:32:17.80" personId="{0F9C5383-88A2-497B-983E-4565C97782EE}" id="{5B301AFE-A35B-449A-9E4F-23F907B31049}">
    <text>Remove Faculty, Prof Venkat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33" dT="2025-05-07T00:43:38.84" personId="{0F9C5383-88A2-497B-983E-4565C97782EE}" id="{642B3D7B-8593-42CB-9D3E-7BE6FF2A6169}">
    <text>Updated</text>
  </threadedComment>
  <threadedComment ref="F33" dT="2025-05-07T00:43:45.91" personId="{0F9C5383-88A2-497B-983E-4565C97782EE}" id="{3D828438-1D32-47CE-833C-A603B982C3DD}">
    <text>Updated</text>
  </threadedComment>
  <threadedComment ref="G33" dT="2025-05-07T00:43:50.99" personId="{0F9C5383-88A2-497B-983E-4565C97782EE}" id="{0649C5B7-D046-4863-8FA0-C7BF1CACE786}">
    <text>Updated</text>
  </threadedComment>
  <threadedComment ref="H33" dT="2025-05-19T05:07:42.86" personId="{0F9C5383-88A2-497B-983E-4565C97782EE}" id="{96BBC8C7-1318-4F0B-BB95-DC44AD9C1B38}">
    <text>Updated. Removed Wk 13</text>
  </threadedComment>
  <threadedComment ref="J33" dT="2025-05-19T05:07:56.14" personId="{0F9C5383-88A2-497B-983E-4565C97782EE}" id="{6E831B1D-9D1D-44A7-B315-A39E4A5A9AB5}">
    <text>Updated</text>
  </threadedComment>
  <threadedComment ref="J33" dT="2025-06-25T00:33:59.87" personId="{0F9C5383-88A2-497B-983E-4565C97782EE}" id="{930779D8-5851-428E-B420-EBF2D167CED5}" parentId="{6E831B1D-9D1D-44A7-B315-A39E4A5A9AB5}">
    <text>Updated</text>
  </threadedComment>
  <threadedComment ref="I35" dT="2025-05-07T00:44:09.81" personId="{0F9C5383-88A2-497B-983E-4565C97782EE}" id="{3A3B41E6-EE59-4945-9C3E-0D4A42677462}">
    <text>Updated</text>
  </threadedComment>
  <threadedComment ref="I36" dT="2025-05-07T00:44:15.42" personId="{0F9C5383-88A2-497B-983E-4565C97782EE}" id="{B9C514EB-ED89-4FDF-AA4A-EE5BDEEA1D59}">
    <text>Updated</text>
  </threadedComment>
  <threadedComment ref="G38" dT="2025-06-25T09:29:47.28" personId="{0F9C5383-88A2-497B-983E-4565C97782EE}" id="{DFF197A8-F74C-4670-95AB-650B96EB4B44}">
    <text>Updated to 2 hrs</text>
  </threadedComment>
  <threadedComment ref="H38" dT="2025-06-25T09:29:35.17" personId="{0F9C5383-88A2-497B-983E-4565C97782EE}" id="{F635B186-1A46-402A-AE3A-027C3FB43B33}">
    <text>Updated to 4,8,12</text>
  </threadedComment>
  <threadedComment ref="F40" dT="2025-05-19T05:11:14.48" personId="{0F9C5383-88A2-497B-983E-4565C97782EE}" id="{B90DA717-470C-483D-9FD7-E93FC46D6A0F}">
    <text>updated</text>
  </threadedComment>
  <threadedComment ref="G40" dT="2025-06-25T00:36:02.20" personId="{0F9C5383-88A2-497B-983E-4565C97782EE}" id="{50D21852-348C-4687-B9D9-45191E0A79A5}">
    <text>3 hrs</text>
  </threadedComment>
  <threadedComment ref="H40" dT="2025-05-19T05:08:41.79" personId="{0F9C5383-88A2-497B-983E-4565C97782EE}" id="{1D27DCEC-034E-4403-98A1-AD6299F5CA78}">
    <text>Updated. Removed Wk 6</text>
  </threadedComment>
  <threadedComment ref="L40" dT="2025-06-25T00:34:13.25" personId="{0F9C5383-88A2-497B-983E-4565C97782EE}" id="{762065F3-6D93-41D6-AF6F-CDDB0EA148F9}">
    <text>Removed Qilong for P1 session</text>
  </threadedComment>
  <threadedComment ref="F41" dT="2025-05-19T05:11:24.82" personId="{0F9C5383-88A2-497B-983E-4565C97782EE}" id="{95ED338C-00D7-4983-9853-786BF8E832B8}">
    <text>Updated</text>
  </threadedComment>
  <threadedComment ref="G41" dT="2025-06-25T00:36:02.20" personId="{0F9C5383-88A2-497B-983E-4565C97782EE}" id="{A6343CB3-A68C-4399-9882-5A1959E4EAA8}">
    <text>3 hrs</text>
  </threadedComment>
  <threadedComment ref="H41" dT="2025-05-19T05:08:41.79" personId="{0F9C5383-88A2-497B-983E-4565C97782EE}" id="{B99FF815-0D2D-4BB3-9915-3BB4CB3AA425}">
    <text>Updated. Removed Wk 6</text>
  </threadedComment>
  <threadedComment ref="H43" dT="2025-05-19T05:11:56.39" personId="{0F9C5383-88A2-497B-983E-4565C97782EE}" id="{2CF3E752-89D9-4496-901B-06C2768CD334}">
    <text>Updated</text>
  </threadedComment>
  <threadedComment ref="H44" dT="2025-05-19T05:11:56.39" personId="{0F9C5383-88A2-497B-983E-4565C97782EE}" id="{F48A3D0D-5271-425D-8020-BF16D9D3720A}">
    <text>Updated</text>
  </threadedComment>
  <threadedComment ref="E53" dT="2025-06-19T06:46:58.25" personId="{0F9C5383-88A2-497B-983E-4565C97782EE}" id="{F19B7655-8C93-46B2-842E-8D31F5F147C0}">
    <text>Shift to Wed AM.. Thanks!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7" dT="2025-05-05T01:44:43.46" personId="{0F9C5383-88A2-497B-983E-4565C97782EE}" id="{607C4677-3627-42BA-BE01-DBE5E7180392}">
    <text>Newly Added</text>
  </threadedComment>
  <threadedComment ref="D7" dT="2025-05-05T01:44:16.80" personId="{0F9C5383-88A2-497B-983E-4565C97782EE}" id="{B07247CD-FDF7-46D2-8DB7-D093449C8B19}">
    <text>Full Time Students</text>
  </threadedComment>
  <threadedComment ref="B10" dT="2025-06-19T00:40:58.25" personId="{0F9C5383-88A2-497B-983E-4565C97782EE}" id="{5E07FBAB-56A1-4283-9EEC-FA2EE3E7BD4F}">
    <text>Sorted out with ML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I3" dT="2025-06-19T02:29:27.11" personId="{0F9C5383-88A2-497B-983E-4565C97782EE}" id="{DBDFF249-9A8F-47AF-8575-2F286244DFBE}">
    <text>ML requested to update to Electronics Lab (09) - Lyndy is aware</text>
  </threadedComment>
  <threadedComment ref="F4" dT="2025-06-10T10:42:32.38" personId="{B8E003A4-AFBB-4671-BE56-1365BB8FFC08}" id="{22A6DCC9-1958-4B29-B057-BB5CFEA38E47}">
    <text>Requesting to start at 1pm and it has been agreed</text>
  </threadedComment>
  <threadedComment ref="I4" dT="2025-06-19T02:29:27.11" personId="{0F9C5383-88A2-497B-983E-4565C97782EE}" id="{2CFE2FFD-1A9C-4EC7-BE45-BAF05AC2682C}">
    <text>ML requested to update to Electronics Lab (09) - Lyndy is aware</text>
  </threadedComment>
  <threadedComment ref="E6" dT="2025-05-06T05:39:44.13" personId="{0F9C5383-88A2-497B-983E-4565C97782EE}" id="{8D9149D2-94B0-4224-93BB-D1572D56047E}">
    <text>Updated</text>
  </threadedComment>
  <threadedComment ref="F6" dT="2025-05-06T05:39:53.12" personId="{0F9C5383-88A2-497B-983E-4565C97782EE}" id="{DC7336B3-73B9-42EC-89C2-8033AB08DA1C}">
    <text>Updated</text>
  </threadedComment>
  <threadedComment ref="E8" dT="2025-06-09T09:59:28.25" personId="{B8E003A4-AFBB-4671-BE56-1365BB8FFC08}" id="{E508E559-9CEE-4E44-97E5-AA2DB10C0A6B}">
    <text>Shifted to Fri 2pm due to clash in Yohanes</text>
  </threadedComment>
  <threadedComment ref="J8" dT="2025-06-09T06:34:20.49" personId="{B8E003A4-AFBB-4671-BE56-1365BB8FFC08}" id="{FCDA1507-647A-430E-8F3C-20B13A0F2528}">
    <text>Teaching MME2232</text>
  </threadedComment>
  <threadedComment ref="E9" dT="2025-06-09T09:59:28.25" personId="{B8E003A4-AFBB-4671-BE56-1365BB8FFC08}" id="{304EC3BB-F089-4E22-A17E-C6FC60CBC6F6}">
    <text>Shifted to Fri 2pm due to clash in Yohanes</text>
  </threadedComment>
  <threadedComment ref="H9" dT="2025-07-01T10:45:02.90" personId="{0F9C5383-88A2-497B-983E-4565C97782EE}" id="{548881F4-B473-42B4-BAC5-2EE256E9C3C8}">
    <text>Updated venue for Wk 2</text>
  </threadedComment>
  <threadedComment ref="J9" dT="2025-06-09T06:34:20.49" personId="{B8E003A4-AFBB-4671-BE56-1365BB8FFC08}" id="{3292A76D-2681-4D4E-850F-6B8979D76D02}">
    <text>Teaching MME2232</text>
  </threadedComment>
  <threadedComment ref="E10" dT="2025-05-07T00:35:57.70" personId="{0F9C5383-88A2-497B-983E-4565C97782EE}" id="{D70E6BD8-2DD4-4111-8C35-EC5C7E51D696}">
    <text>Updated</text>
  </threadedComment>
  <threadedComment ref="F10" dT="2025-05-07T00:36:06.61" personId="{0F9C5383-88A2-497B-983E-4565C97782EE}" id="{AB8E9136-CCA7-43C5-903A-3DF330083444}">
    <text>Updated</text>
  </threadedComment>
  <threadedComment ref="H10" dT="2025-06-10T03:56:06.59" personId="{B8E003A4-AFBB-4671-BE56-1365BB8FFC08}" id="{794C59C3-40A3-4019-B5D2-7A393CE9FF39}">
    <text>Wk14 to use graphic lab</text>
  </threadedComment>
  <threadedComment ref="I10" dT="2025-05-07T00:35:50.76" personId="{0F9C5383-88A2-497B-983E-4565C97782EE}" id="{EDBD8CE0-CD54-4C4C-9BC5-D56E1F7800C7}">
    <text>Updated</text>
  </threadedComment>
  <threadedComment ref="L10" dT="2025-05-26T09:31:26.15" personId="{0F9C5383-88A2-497B-983E-4565C97782EE}" id="{2ED14223-76B5-4537-833F-8DD9C28C9549}">
    <text>Added</text>
  </threadedComment>
  <threadedComment ref="L11" dT="2025-05-26T09:31:26.15" personId="{0F9C5383-88A2-497B-983E-4565C97782EE}" id="{CC08F156-4D42-46B3-BFE1-942FA85F8028}">
    <text>Added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L3" dT="2025-06-26T08:24:24.25" personId="{0F9C5383-88A2-497B-983E-4565C97782EE}" id="{43F3DBE8-6CBD-4C95-BB54-A913A1FA784C}">
    <text xml:space="preserve">Updated PO name @Candice Chua Pey Shyan </text>
    <mentions>
      <mention mentionpersonId="{EDF1E99A-2083-4D44-A9A8-9F145BB353EC}" mentionId="{DB41B6DB-9F68-4DED-A49D-7865002A7F13}" startIndex="16" length="23"/>
    </mentions>
  </threadedComment>
  <threadedComment ref="E4" dT="2025-06-26T08:28:30.73" personId="{0F9C5383-88A2-497B-983E-4565C97782EE}" id="{F35B350B-D53E-4B9C-9A34-09CAD6EDCEBF}">
    <text xml:space="preserve">Changed from Thu 2PM @Candice Chua Pey Shyan </text>
    <mentions>
      <mention mentionpersonId="{EDF1E99A-2083-4D44-A9A8-9F145BB353EC}" mentionId="{565DD7D2-DE70-48C5-933E-2112492B99E4}" startIndex="21" length="23"/>
    </mentions>
  </threadedComment>
  <threadedComment ref="F4" dT="2025-03-25T03:10:33.88" personId="{0F9C5383-88A2-497B-983E-4565C97782EE}" id="{8E99176E-8370-4CF1-B6B9-3FF53037D361}">
    <text>@Kenichi Kato  - need to change to 2 PM</text>
    <mentions>
      <mention mentionpersonId="{83F04ED2-A53F-4C5D-BFC4-69FD65C87724}" mentionId="{A3CA4F17-7911-4F67-AB1B-92F8CFEA7EBD}" startIndex="0" length="13"/>
    </mentions>
  </threadedComment>
  <threadedComment ref="I4" dT="2025-06-26T08:25:16.02" personId="{0F9C5383-88A2-497B-983E-4565C97782EE}" id="{2E1B8E38-6D7C-46D0-AF51-AF8AE4FAFD6A}">
    <text xml:space="preserve">Changed from Eng Graphics Lab 1 &amp; 2 @Candice Chua Pey Shyan </text>
    <mentions>
      <mention mentionpersonId="{EDF1E99A-2083-4D44-A9A8-9F145BB353EC}" mentionId="{C7CFA2DC-8F29-4221-9BF0-BB2AD91FE225}" startIndex="36" length="23"/>
    </mentions>
  </threadedComment>
  <threadedComment ref="E5" dT="2025-07-08T06:11:59.57" personId="{0F9C5383-88A2-497B-983E-4565C97782EE}" id="{AB971185-125D-41DF-8560-8295667F0B88}">
    <text>Updated wk 2 session</text>
  </threadedComment>
  <threadedComment ref="F5" dT="2025-03-25T03:10:33.88" personId="{0F9C5383-88A2-497B-983E-4565C97782EE}" id="{BE292BA6-1927-4E73-8794-245C01392EE6}">
    <text>@Kenichi Kato  - need to change to 2 PM</text>
    <mentions>
      <mention mentionpersonId="{83F04ED2-A53F-4C5D-BFC4-69FD65C87724}" mentionId="{7CC747F5-673B-4ECF-9791-6167F0D77883}" startIndex="0" length="13"/>
    </mentions>
  </threadedComment>
  <threadedComment ref="I5" dT="2025-06-26T08:25:16.02" personId="{0F9C5383-88A2-497B-983E-4565C97782EE}" id="{5059360E-A07B-4663-AE23-ABB2B1ABF87A}">
    <text xml:space="preserve">Changed from Eng Graphics Lab 1 &amp; 2 @Candice Chua Pey Shyan </text>
    <mentions>
      <mention mentionpersonId="{EDF1E99A-2083-4D44-A9A8-9F145BB353EC}" mentionId="{66743692-DD2E-4478-B241-43EC07DEEA49}" startIndex="36" length="23"/>
    </mentions>
  </threadedComment>
  <threadedComment ref="E6" dT="2025-06-26T08:28:30.73" personId="{0F9C5383-88A2-497B-983E-4565C97782EE}" id="{43F7128D-0D7B-44D2-B377-8DAA18356EA7}">
    <text xml:space="preserve">Changed from Thu 2PM @Candice Chua Pey Shyan </text>
    <mentions>
      <mention mentionpersonId="{EDF1E99A-2083-4D44-A9A8-9F145BB353EC}" mentionId="{0A9443E4-05ED-4024-844F-9433D27F337A}" startIndex="21" length="23"/>
    </mentions>
  </threadedComment>
  <threadedComment ref="F6" dT="2025-03-25T03:10:33.88" personId="{0F9C5383-88A2-497B-983E-4565C97782EE}" id="{E25DE731-F8BE-46D2-B5FD-B643E4501FF4}">
    <text>@Kenichi Kato  - need to change to 2 PM</text>
    <mentions>
      <mention mentionpersonId="{83F04ED2-A53F-4C5D-BFC4-69FD65C87724}" mentionId="{513794C6-4D59-44BF-8497-66BA2D59AC98}" startIndex="0" length="13"/>
    </mentions>
  </threadedComment>
  <threadedComment ref="H6" dT="2025-07-08T06:11:42.94" personId="{0F9C5383-88A2-497B-983E-4565C97782EE}" id="{0C499E48-379F-4DB3-BDF8-6D774FE52610}">
    <text>Updated</text>
  </threadedComment>
  <threadedComment ref="I6" dT="2025-06-26T08:25:57.03" personId="{0F9C5383-88A2-497B-983E-4565C97782EE}" id="{9E7F9CA6-334B-4529-9866-0829E08EB205}">
    <text xml:space="preserve">Changed from Electronics Lab (E6-07-10) @Candice Chua Pey Shyan </text>
    <mentions>
      <mention mentionpersonId="{EDF1E99A-2083-4D44-A9A8-9F145BB353EC}" mentionId="{C913BAA2-534D-4CF1-918A-B19DA4AB45BB}" startIndex="40" length="23"/>
    </mentions>
  </threadedComment>
  <threadedComment ref="E7" dT="2025-06-26T08:28:30.73" personId="{0F9C5383-88A2-497B-983E-4565C97782EE}" id="{6DE51779-82BE-4064-8E46-2D22D5D35370}">
    <text xml:space="preserve">Changed from Thu 2PM @Candice Chua Pey Shyan </text>
    <mentions>
      <mention mentionpersonId="{EDF1E99A-2083-4D44-A9A8-9F145BB353EC}" mentionId="{3898C1A2-E4E3-47B2-A95B-1226E515FA8D}" startIndex="21" length="23"/>
    </mentions>
  </threadedComment>
  <threadedComment ref="F7" dT="2025-03-25T03:10:33.88" personId="{0F9C5383-88A2-497B-983E-4565C97782EE}" id="{2D788838-30BF-4AE9-B2DA-8D7B2A9EADAC}">
    <text>@Kenichi Kato  - need to change to 2 PM</text>
    <mentions>
      <mention mentionpersonId="{83F04ED2-A53F-4C5D-BFC4-69FD65C87724}" mentionId="{8495FDD1-5070-4173-8285-AAB3D117B583}" startIndex="0" length="13"/>
    </mentions>
  </threadedComment>
  <threadedComment ref="I7" dT="2025-06-26T08:25:16.02" personId="{0F9C5383-88A2-497B-983E-4565C97782EE}" id="{95315BCD-B0DF-476B-8F88-2B0310B0AD8B}">
    <text xml:space="preserve">Changed from Eng Graphics Lab 1 &amp; 2 @Candice Chua Pey Shyan </text>
    <mentions>
      <mention mentionpersonId="{EDF1E99A-2083-4D44-A9A8-9F145BB353EC}" mentionId="{264903B9-C6F4-4C07-A7E2-694B0F625143}" startIndex="36" length="23"/>
    </mentions>
  </threadedComment>
  <threadedComment ref="E8" dT="2025-06-26T08:28:30.73" personId="{0F9C5383-88A2-497B-983E-4565C97782EE}" id="{117FB227-4288-47D4-BB4A-C7F025A1AB00}">
    <text xml:space="preserve">Changed from Thu 2PM @Candice Chua Pey Shyan </text>
    <mentions>
      <mention mentionpersonId="{EDF1E99A-2083-4D44-A9A8-9F145BB353EC}" mentionId="{53F9B049-4E14-4324-9AC0-E3DAD20CFB90}" startIndex="21" length="23"/>
    </mentions>
  </threadedComment>
  <threadedComment ref="F8" dT="2025-03-25T03:10:33.88" personId="{0F9C5383-88A2-497B-983E-4565C97782EE}" id="{8315C51F-0671-43D7-B3D3-992C26FAC3F7}">
    <text>@Kenichi Kato  - need to change to 2 PM</text>
    <mentions>
      <mention mentionpersonId="{83F04ED2-A53F-4C5D-BFC4-69FD65C87724}" mentionId="{D169413B-AEF1-4FF2-B4F1-68A902D75370}" startIndex="0" length="13"/>
    </mentions>
  </threadedComment>
  <threadedComment ref="I8" dT="2025-06-26T08:25:57.03" personId="{0F9C5383-88A2-497B-983E-4565C97782EE}" id="{D60A1EE9-1DDB-4D30-B12D-B8B0043D0719}">
    <text xml:space="preserve">Changed from Electronics Lab (E6-07-10) @Candice Chua Pey Shyan </text>
    <mentions>
      <mention mentionpersonId="{EDF1E99A-2083-4D44-A9A8-9F145BB353EC}" mentionId="{90110FF8-75E8-47DA-8FBB-520714DFDAC5}" startIndex="40" length="23"/>
    </mentions>
  </threadedComment>
  <threadedComment ref="F9" dT="2025-06-06T08:22:13.88" personId="{B8E003A4-AFBB-4671-BE56-1365BB8FFC08}" id="{33629E9D-8160-4A84-86E1-CA676AE2CFAA}">
    <text>Moved to Wed, 9am to accommodate MET2502</text>
  </threadedComment>
  <threadedComment ref="F10" dT="2025-06-06T08:21:42.48" personId="{B8E003A4-AFBB-4671-BE56-1365BB8FFC08}" id="{6CC9AC70-6B75-460D-A964-85CA6D2F1D17}">
    <text>Moved to 1pm as clash w MET2002</text>
  </threadedComment>
  <threadedComment ref="B11" dT="2025-03-05T01:45:39.90" personId="{0F9C5383-88A2-497B-983E-4565C97782EE}" id="{8FBF469C-36C9-4CA7-8900-E213C7A46FA7}">
    <text>Capstone Project</text>
  </threadedComment>
  <threadedComment ref="B12" dT="2025-03-05T01:45:39.90" personId="{0F9C5383-88A2-497B-983E-4565C97782EE}" id="{C2CB9E2F-8F9A-49CF-9575-AB147A7C026A}">
    <text>Capstone Project</text>
  </threadedComment>
  <threadedComment ref="H18" dT="2025-06-23T02:13:33.01" personId="{0F9C5383-88A2-497B-983E-4565C97782EE}" id="{A4930A19-C60B-454B-99F0-B06598E3DFFC}">
    <text xml:space="preserve">Updated the session in Wk 8 to Wk 6.. For noting please. Thanks! @Candice Chua Pey Shyan </text>
    <mentions>
      <mention mentionpersonId="{EDF1E99A-2083-4D44-A9A8-9F145BB353EC}" mentionId="{669C0F28-7060-4C1A-93E5-4438876FFE13}" startIndex="65" length="23"/>
    </mentions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F21" dT="2025-06-02T08:22:25.32" personId="{B8E003A4-AFBB-4671-BE56-1365BB8FFC08}" id="{40531BC3-4197-427B-9B2F-33F25A32ED77}">
    <text>To reschedule</text>
  </threadedComment>
  <threadedComment ref="F21" dT="2025-06-19T00:36:43.64" personId="{0F9C5383-88A2-497B-983E-4565C97782EE}" id="{463078CE-7E50-4859-A6AB-AD3757D295C2}" parentId="{40531BC3-4197-427B-9B2F-33F25A32ED77}">
    <text>9am</text>
  </threadedComment>
  <threadedComment ref="H21" dT="2025-06-19T00:36:57.13" personId="{0F9C5383-88A2-497B-983E-4565C97782EE}" id="{86442A39-A0F0-45D8-9399-4BB9810F23ED}">
    <text>Change to Wk 10</text>
  </threadedComment>
  <threadedComment ref="H22" dT="2025-06-23T01:49:10.53" personId="{0F9C5383-88A2-497B-983E-4565C97782EE}" id="{88993611-046D-4903-8F5D-037A1F89CAAF}">
    <text>Updated to Wk 10</text>
  </threadedComment>
  <threadedComment ref="I27" dT="2025-07-10T09:09:14.90" personId="{0F9C5383-88A2-497B-983E-4565C97782EE}" id="{4DE77434-0C43-43CD-BB71-1A56072D124B}">
    <text xml:space="preserve">Updated for SBE3131 @Candice Chua Pey Shyan </text>
    <mentions>
      <mention mentionpersonId="{EDF1E99A-2083-4D44-A9A8-9F145BB353EC}" mentionId="{8393A894-9286-476B-9789-668DDE0F36E0}" startIndex="20" length="23"/>
    </mentions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E8" dT="2025-06-23T01:50:38.56" personId="{0F9C5383-88A2-497B-983E-4565C97782EE}" id="{F3273332-4ED5-4714-B914-BB9CC46D0F24}">
    <text>Updated to resolve conflict</text>
  </threadedComment>
  <threadedComment ref="L18" dT="2025-06-20T03:39:15.17" personId="{0F9C5383-88A2-497B-983E-4565C97782EE}" id="{79860A44-72AC-4046-A43B-F5E245E5FD64}">
    <text>Removed Qilong @Candice Chua Pey Shyan - can help me with this change please</text>
    <mentions>
      <mention mentionpersonId="{EDF1E99A-2083-4D44-A9A8-9F145BB353EC}" mentionId="{70283072-8BE5-4AC1-A6AE-1A0F075D8C9F}" startIndex="15" length="23"/>
    </mentions>
  </threadedComment>
  <threadedComment ref="L19" dT="2025-06-20T03:39:15.17" personId="{0F9C5383-88A2-497B-983E-4565C97782EE}" id="{945F9E0A-AB41-4A31-B49F-76D0A87C7E4C}">
    <text>Removed Qilong</text>
  </threadedComment>
  <threadedComment ref="L20" dT="2025-06-20T03:39:15.17" personId="{0F9C5383-88A2-497B-983E-4565C97782EE}" id="{7566F3B1-03D7-4E67-8B05-C2B65485B0BD}">
    <text>Removed Qilong</text>
  </threadedComment>
  <threadedComment ref="L21" dT="2025-06-20T03:39:15.17" personId="{0F9C5383-88A2-497B-983E-4565C97782EE}" id="{39883F02-E7AD-4267-993B-CEAB7185A5B4}">
    <text>Removed Qilong</text>
  </threadedComment>
  <threadedComment ref="I25" dT="2025-06-05T05:43:33.24" personId="{B8E003A4-AFBB-4671-BE56-1365BB8FFC08}" id="{CE5EF12D-3510-406C-B3DF-76C29DCBB9B4}">
    <text>Venue used by TCE on Wk 8 &amp; 9</text>
  </threadedComment>
  <threadedComment ref="I26" dT="2025-06-05T05:43:39.15" personId="{B8E003A4-AFBB-4671-BE56-1365BB8FFC08}" id="{CA5D84CF-4371-4FE0-9FB5-51F6B31DE74F}">
    <text>Venue used by TCE on Wk 8 &amp; 9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H3" dT="2025-06-16T10:30:12.70" personId="{0F9C5383-88A2-497B-983E-4565C97782EE}" id="{FA2C172C-96BF-4799-9D3A-B22440AD6DAA}">
    <text>All change to Wk 5</text>
  </threadedComment>
  <threadedComment ref="C4" dT="2025-06-19T07:01:50.14" personId="{0F9C5383-88A2-497B-983E-4565C97782EE}" id="{67E65213-8F47-4E8A-9EB5-D1DCF198A71F}">
    <text>Newly added session</text>
  </threadedComment>
  <threadedComment ref="K4" dT="2025-06-20T07:21:39.53" personId="{0F9C5383-88A2-497B-983E-4565C97782EE}" id="{4AE87F2F-5DD8-4E4B-8176-8E0039A982D5}">
    <text xml:space="preserve">Sorry added Han Guan here @Candice Chua Pey Shyan </text>
    <mentions>
      <mention mentionpersonId="{EDF1E99A-2083-4D44-A9A8-9F145BB353EC}" mentionId="{87A9B825-1D31-4E63-BFD0-F9594D5E20AF}" startIndex="26" length="23"/>
    </mentions>
  </threadedComment>
  <threadedComment ref="H5" dT="2025-06-16T10:30:12.70" personId="{0F9C5383-88A2-497B-983E-4565C97782EE}" id="{E5F534A5-9EF7-44B5-A52C-C4B32167F3A4}">
    <text>All change to Wk 5</text>
  </threadedComment>
  <threadedComment ref="H6" dT="2025-06-16T10:30:12.70" personId="{0F9C5383-88A2-497B-983E-4565C97782EE}" id="{4553BE64-C38C-4ECD-B03D-5632219C44CF}">
    <text>All change to Wk 5</text>
  </threadedComment>
  <threadedComment ref="C8" dT="2025-06-19T07:02:31.36" personId="{0F9C5383-88A2-497B-983E-4565C97782EE}" id="{DB9C4E12-4F1D-4EC9-BBE4-447818CF5E11}">
    <text>Newly added session</text>
  </threadedComment>
  <threadedComment ref="K8" dT="2025-06-20T07:21:39.53" personId="{0F9C5383-88A2-497B-983E-4565C97782EE}" id="{530D8447-7A0B-4398-A39A-89700BF1B8A6}">
    <text xml:space="preserve">Sorry added Han Guan here @Candice Chua Pey Shyan </text>
    <mentions>
      <mention mentionpersonId="{EDF1E99A-2083-4D44-A9A8-9F145BB353EC}" mentionId="{5CE998B4-8162-42EB-A022-790F16CFD04F}" startIndex="26" length="23"/>
    </mentions>
  </threadedComment>
  <threadedComment ref="B9" dT="2025-06-19T03:49:49.97" personId="{B8E003A4-AFBB-4671-BE56-1365BB8FFC08}" id="{532E266E-67A6-4791-A3C3-6ED9E3ADE091}">
    <text>Shifted to Mon, 3pm to accommodate CVE1114</text>
  </threadedComment>
  <threadedComment ref="E9" dT="2025-06-19T07:02:02.07" personId="{0F9C5383-88A2-497B-983E-4565C97782EE}" id="{72F0322E-1D84-44D0-82DD-AD78EE690BA9}">
    <text>Updated to Mon PM</text>
  </threadedComment>
  <threadedComment ref="C10" dT="2025-06-19T07:03:03.90" personId="{0F9C5383-88A2-497B-983E-4565C97782EE}" id="{ED8828C6-095A-4809-8224-FFA09C7E2AA7}">
    <text>Newly added session</text>
  </threadedComment>
  <threadedComment ref="K10" dT="2025-06-20T07:21:39.53" personId="{0F9C5383-88A2-497B-983E-4565C97782EE}" id="{1F473F5B-1A88-46EB-B768-00A86AB370BA}">
    <text xml:space="preserve">Sorry added Han Guan here @Candice Chua Pey Shyan </text>
    <mentions>
      <mention mentionpersonId="{EDF1E99A-2083-4D44-A9A8-9F145BB353EC}" mentionId="{7F133AFA-F3CD-4A26-8A77-7CAD09D66998}" startIndex="26" length="23"/>
    </mentions>
  </threadedComment>
  <threadedComment ref="L14" dT="2025-03-25T09:26:50.83" personId="{66F37350-2405-4C69-821B-F5F8BB903083}" id="{9240EA6F-EF1F-45AC-A1E5-E16DF4F9705C}">
    <text>added Neo Ser Hua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F3" dT="2025-05-06T05:42:50.56" personId="{0F9C5383-88A2-497B-983E-4565C97782EE}" id="{FD7EED28-296E-436E-A84B-47A430A9D37C}">
    <text>Updated</text>
  </threadedComment>
  <threadedComment ref="F4" dT="2025-05-06T05:42:50.56" personId="{0F9C5383-88A2-497B-983E-4565C97782EE}" id="{2A17A8BF-1849-45F5-813F-E955CFC44CF3}">
    <text>Updated</text>
  </threadedComment>
  <threadedComment ref="E5" dT="2025-05-06T05:47:28.21" personId="{0F9C5383-88A2-497B-983E-4565C97782EE}" id="{2C6FA54B-D9CF-4DA2-AFE0-5C9B99CCA5E5}">
    <text>Updated</text>
  </threadedComment>
  <threadedComment ref="E7" dT="2025-05-07T00:48:30.61" personId="{0F9C5383-88A2-497B-983E-4565C97782EE}" id="{E6106054-FE0D-40D3-BD3B-1BEB4316B9D2}">
    <text>Updated</text>
  </threadedComment>
  <threadedComment ref="F7" dT="2025-05-07T00:48:37.76" personId="{0F9C5383-88A2-497B-983E-4565C97782EE}" id="{796DAD25-FAF0-44F9-953F-5756A3DEEB75}">
    <text>Updated</text>
  </threadedComment>
  <threadedComment ref="E8" dT="2025-05-07T00:48:30.61" personId="{0F9C5383-88A2-497B-983E-4565C97782EE}" id="{5D840340-AB89-4BAF-BCFF-087A0C11C1BE}">
    <text>Updated</text>
  </threadedComment>
  <threadedComment ref="F8" dT="2025-05-07T00:48:37.76" personId="{0F9C5383-88A2-497B-983E-4565C97782EE}" id="{BE8F8C83-3C15-4B75-9B1B-48C17EA23D02}">
    <text>Updated</text>
  </threadedComment>
  <threadedComment ref="B20" dT="2025-05-19T06:06:55.60" personId="{0F9C5383-88A2-497B-983E-4565C97782EE}" id="{CCAFDA19-BD55-48E7-B406-B3F8711DE9E5}">
    <text>Newly added module</text>
  </threadedComment>
  <threadedComment ref="I28" dT="2025-05-27T02:33:30.65" personId="{B8E003A4-AFBB-4671-BE56-1365BB8FFC08}" id="{0485DDD7-AE34-4613-BF56-9B7B8F38FE6C}">
    <text>Due to small class size, SR will be assigned instead of ACE</text>
  </threadedComment>
  <threadedComment ref="I28" dT="2025-05-27T04:26:29.40" personId="{0F9C5383-88A2-497B-983E-4565C97782EE}" id="{D6900CFB-5775-4395-8F34-CAB99CF782EA}" parentId="{0485DDD7-AE34-4613-BF56-9B7B8F38FE6C}">
    <text>Can check if the SR room meets the ML’s requirements? thanks</text>
  </threadedComment>
  <threadedComment ref="I28" dT="2025-05-27T08:53:01.32" personId="{B8E003A4-AFBB-4671-BE56-1365BB8FFC08}" id="{78830AB4-39A2-4E3A-872D-E99CE46CA001}" parentId="{0485DDD7-AE34-4613-BF56-9B7B8F38FE6C}">
    <text>We do not have any rooms with such requirements</text>
  </threadedComment>
  <threadedComment ref="H29" dT="2025-05-29T10:21:07.63" personId="{0F9C5383-88A2-497B-983E-4565C97782EE}" id="{23599479-46F1-4D11-BB34-6CC152D30C2C}">
    <text>Wk 12, Add 1 teaching staff</text>
  </threadedComment>
  <threadedComment ref="I29" dT="2025-05-27T02:33:30.65" personId="{B8E003A4-AFBB-4671-BE56-1365BB8FFC08}" id="{55F5C2B7-E7E9-455E-B8DF-8CC648E367E4}">
    <text>Due to small class size, SR will be assigned instead of ACE</text>
  </threadedComment>
  <threadedComment ref="I29" dT="2025-05-27T04:26:29.40" personId="{0F9C5383-88A2-497B-983E-4565C97782EE}" id="{C9BF055C-98AF-4C0B-B8FF-DEF59A80FFAF}" parentId="{55F5C2B7-E7E9-455E-B8DF-8CC648E367E4}">
    <text>Can check if the SR room meets the ML’s requirements? thanks</text>
  </threadedComment>
  <threadedComment ref="I29" dT="2025-05-27T08:53:01.32" personId="{B8E003A4-AFBB-4671-BE56-1365BB8FFC08}" id="{1D3A2363-1A41-4E70-9461-7E9E11E9FD98}" parentId="{55F5C2B7-E7E9-455E-B8DF-8CC648E367E4}">
    <text>We do not have any rooms with such requirements</text>
  </threadedComment>
  <threadedComment ref="K29" dT="2025-05-29T10:21:20.81" personId="{0F9C5383-88A2-497B-983E-4565C97782EE}" id="{A643E4DE-1706-4CAF-8199-CFA1A424B165}">
    <text>Added</text>
  </threadedComment>
  <threadedComment ref="K29" dT="2025-08-07T08:10:50.19" personId="{0F9C5383-88A2-497B-983E-4565C97782EE}" id="{BFE78AAE-9E31-4563-AAF7-3A25A48BF944}" parentId="{A643E4DE-1706-4CAF-8199-CFA1A424B165}">
    <text>@Candice Chua Pey Shyan - Hi Candice, noted that Deric’s name not included in Tri 1 Timetable, can help to add please? Thanks!</text>
    <mentions>
      <mention mentionpersonId="{EDF1E99A-2083-4D44-A9A8-9F145BB353EC}" mentionId="{D9B55AF1-575F-432C-99AB-F488DC3356F5}" startIndex="0" length="23"/>
    </mentions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B3" dT="2025-05-29T09:50:39.75" personId="{0F9C5383-88A2-497B-983E-4565C97782EE}" id="{16BDFC0E-3247-4394-80B7-67D36704A9AE}">
    <text>Newly added 3 modules for CSM</text>
  </threadedComment>
  <threadedComment ref="H8" dT="2025-07-02T08:38:15.78" personId="{0F9C5383-88A2-497B-983E-4565C97782EE}" id="{7138C2D5-CFE3-4C7E-9CCD-326684C6DAB3}">
    <text>To update based on Monissa’s latest updates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ingaporetech.edu.sg/admissions/undergraduate/academic-calendar-sit-and-joint-programmes" TargetMode="External"/><Relationship Id="rId6" Type="http://schemas.microsoft.com/office/2017/10/relationships/threadedComment" Target="../threadedComments/threadedComment4.xm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6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8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Relationship Id="rId4" Type="http://schemas.microsoft.com/office/2019/04/relationships/documenttask" Target="../documenttasks/documenttask1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5DAA-93CC-43B3-873B-8B9F563CE958}">
  <sheetPr filterMode="1"/>
  <dimension ref="A1:W199"/>
  <sheetViews>
    <sheetView topLeftCell="C1" zoomScale="70" zoomScaleNormal="70" workbookViewId="0">
      <pane ySplit="1" topLeftCell="A42" activePane="bottomLeft" state="frozen"/>
      <selection pane="bottomLeft" activeCell="N201" sqref="N201"/>
    </sheetView>
  </sheetViews>
  <sheetFormatPr defaultRowHeight="14.5" x14ac:dyDescent="0.35"/>
  <cols>
    <col min="1" max="1" width="14" style="21" bestFit="1" customWidth="1"/>
    <col min="2" max="2" width="13.81640625" style="31" customWidth="1"/>
    <col min="3" max="3" width="18.1796875" style="31" bestFit="1" customWidth="1"/>
    <col min="4" max="4" width="14.81640625" style="31" customWidth="1"/>
    <col min="5" max="5" width="22.81640625" style="21" customWidth="1"/>
    <col min="6" max="6" width="36.453125" style="22" customWidth="1"/>
    <col min="7" max="7" width="8.81640625" style="15"/>
    <col min="8" max="8" width="8.81640625" style="30"/>
    <col min="9" max="9" width="16.1796875" customWidth="1"/>
    <col min="10" max="10" width="11.453125" bestFit="1" customWidth="1"/>
    <col min="11" max="11" width="12.1796875" bestFit="1" customWidth="1"/>
    <col min="12" max="12" width="6.453125" customWidth="1"/>
    <col min="13" max="13" width="6.81640625" customWidth="1"/>
    <col min="14" max="14" width="47.453125" bestFit="1" customWidth="1"/>
    <col min="15" max="15" width="11.54296875" customWidth="1"/>
    <col min="21" max="21" width="9.54296875" bestFit="1" customWidth="1"/>
  </cols>
  <sheetData>
    <row r="1" spans="1:23" s="17" customFormat="1" x14ac:dyDescent="0.35">
      <c r="A1" s="25" t="s">
        <v>0</v>
      </c>
      <c r="B1" s="26" t="s">
        <v>36</v>
      </c>
      <c r="C1" s="26" t="s">
        <v>125</v>
      </c>
      <c r="D1" s="26" t="s">
        <v>2</v>
      </c>
      <c r="E1" s="20" t="s">
        <v>3</v>
      </c>
      <c r="F1" s="27" t="s">
        <v>6</v>
      </c>
      <c r="G1" s="28">
        <f>COUNTA(D:D)-1-COUNTA(D2:D5)-COUNTA(D58:D60)</f>
        <v>55</v>
      </c>
      <c r="H1" s="29"/>
      <c r="J1" s="18" t="s">
        <v>126</v>
      </c>
      <c r="K1" s="17" t="s">
        <v>4</v>
      </c>
      <c r="L1" s="17" t="s">
        <v>1</v>
      </c>
      <c r="M1" s="17" t="s">
        <v>127</v>
      </c>
      <c r="N1" s="17" t="s">
        <v>5</v>
      </c>
      <c r="O1" s="17" t="s">
        <v>6</v>
      </c>
      <c r="R1" s="25" t="s">
        <v>0</v>
      </c>
      <c r="S1" s="20" t="s">
        <v>36</v>
      </c>
      <c r="T1" s="20" t="s">
        <v>125</v>
      </c>
      <c r="U1" s="20" t="s">
        <v>128</v>
      </c>
      <c r="V1" s="20" t="s">
        <v>3</v>
      </c>
      <c r="W1" s="27" t="s">
        <v>6</v>
      </c>
    </row>
    <row r="2" spans="1:23" hidden="1" x14ac:dyDescent="0.35">
      <c r="A2"/>
      <c r="B2" s="19" t="s">
        <v>129</v>
      </c>
      <c r="C2" s="19" t="s">
        <v>130</v>
      </c>
      <c r="D2" s="19" t="s">
        <v>131</v>
      </c>
      <c r="E2" s="19" t="s">
        <v>132</v>
      </c>
      <c r="F2"/>
      <c r="K2" t="s">
        <v>133</v>
      </c>
      <c r="L2" t="s">
        <v>129</v>
      </c>
      <c r="M2" t="s">
        <v>9</v>
      </c>
      <c r="N2" t="s">
        <v>10</v>
      </c>
      <c r="S2" t="s">
        <v>134</v>
      </c>
      <c r="T2" t="s">
        <v>135</v>
      </c>
      <c r="U2" t="s">
        <v>136</v>
      </c>
      <c r="V2" t="s">
        <v>137</v>
      </c>
    </row>
    <row r="3" spans="1:23" hidden="1" x14ac:dyDescent="0.35">
      <c r="A3"/>
      <c r="B3" s="19" t="s">
        <v>129</v>
      </c>
      <c r="C3" s="19" t="s">
        <v>130</v>
      </c>
      <c r="D3" s="19" t="s">
        <v>138</v>
      </c>
      <c r="E3" s="19" t="s">
        <v>132</v>
      </c>
      <c r="F3"/>
      <c r="K3" t="s">
        <v>139</v>
      </c>
      <c r="L3" t="s">
        <v>140</v>
      </c>
      <c r="M3" t="s">
        <v>11</v>
      </c>
      <c r="N3" t="s">
        <v>141</v>
      </c>
      <c r="O3" t="s">
        <v>142</v>
      </c>
      <c r="S3" t="s">
        <v>134</v>
      </c>
      <c r="T3" t="s">
        <v>135</v>
      </c>
      <c r="U3" t="s">
        <v>143</v>
      </c>
      <c r="V3" t="s">
        <v>144</v>
      </c>
    </row>
    <row r="4" spans="1:23" hidden="1" x14ac:dyDescent="0.35">
      <c r="A4"/>
      <c r="B4" s="19" t="s">
        <v>129</v>
      </c>
      <c r="C4" s="19" t="s">
        <v>130</v>
      </c>
      <c r="D4" s="19" t="s">
        <v>145</v>
      </c>
      <c r="E4" s="19" t="s">
        <v>132</v>
      </c>
      <c r="F4"/>
      <c r="K4" t="s">
        <v>73</v>
      </c>
      <c r="L4" t="s">
        <v>140</v>
      </c>
      <c r="M4" t="s">
        <v>11</v>
      </c>
      <c r="N4" t="s">
        <v>146</v>
      </c>
      <c r="O4" t="s">
        <v>147</v>
      </c>
      <c r="S4" t="s">
        <v>134</v>
      </c>
      <c r="T4" t="s">
        <v>135</v>
      </c>
      <c r="U4" t="s">
        <v>148</v>
      </c>
      <c r="V4" t="s">
        <v>149</v>
      </c>
    </row>
    <row r="5" spans="1:23" hidden="1" x14ac:dyDescent="0.35">
      <c r="A5"/>
      <c r="B5" s="19" t="s">
        <v>129</v>
      </c>
      <c r="C5" s="19" t="s">
        <v>130</v>
      </c>
      <c r="D5" s="19" t="s">
        <v>150</v>
      </c>
      <c r="E5" s="19" t="s">
        <v>132</v>
      </c>
      <c r="F5"/>
      <c r="K5" t="s">
        <v>151</v>
      </c>
      <c r="L5" t="s">
        <v>140</v>
      </c>
      <c r="M5" t="s">
        <v>8</v>
      </c>
      <c r="N5" t="s">
        <v>152</v>
      </c>
      <c r="S5" t="s">
        <v>153</v>
      </c>
      <c r="T5" s="21" t="s">
        <v>154</v>
      </c>
      <c r="U5" t="s">
        <v>155</v>
      </c>
      <c r="V5" t="s">
        <v>156</v>
      </c>
    </row>
    <row r="6" spans="1:23" hidden="1" x14ac:dyDescent="0.35">
      <c r="A6"/>
      <c r="B6" s="19" t="s">
        <v>140</v>
      </c>
      <c r="C6" s="19" t="s">
        <v>157</v>
      </c>
      <c r="D6" s="19" t="s">
        <v>73</v>
      </c>
      <c r="E6"/>
      <c r="F6"/>
      <c r="K6" t="s">
        <v>158</v>
      </c>
      <c r="L6" t="s">
        <v>140</v>
      </c>
      <c r="M6" t="s">
        <v>8</v>
      </c>
      <c r="N6" t="s">
        <v>159</v>
      </c>
      <c r="S6" t="s">
        <v>153</v>
      </c>
      <c r="T6" s="21" t="s">
        <v>154</v>
      </c>
      <c r="U6" t="s">
        <v>160</v>
      </c>
      <c r="V6" t="s">
        <v>161</v>
      </c>
    </row>
    <row r="7" spans="1:23" hidden="1" x14ac:dyDescent="0.35">
      <c r="A7"/>
      <c r="B7" s="19" t="s">
        <v>162</v>
      </c>
      <c r="C7" s="19" t="s">
        <v>163</v>
      </c>
      <c r="D7" s="19" t="s">
        <v>164</v>
      </c>
      <c r="E7"/>
      <c r="F7"/>
      <c r="K7" t="s">
        <v>165</v>
      </c>
      <c r="L7" t="s">
        <v>140</v>
      </c>
      <c r="M7" t="s">
        <v>9</v>
      </c>
      <c r="N7" t="s">
        <v>166</v>
      </c>
      <c r="O7" t="s">
        <v>142</v>
      </c>
      <c r="S7" t="s">
        <v>167</v>
      </c>
      <c r="T7" t="s">
        <v>168</v>
      </c>
      <c r="U7" t="s">
        <v>169</v>
      </c>
      <c r="V7" t="s">
        <v>170</v>
      </c>
      <c r="W7" s="22"/>
    </row>
    <row r="8" spans="1:23" hidden="1" x14ac:dyDescent="0.35">
      <c r="A8"/>
      <c r="B8" s="19" t="s">
        <v>162</v>
      </c>
      <c r="C8" s="19" t="s">
        <v>171</v>
      </c>
      <c r="D8" s="19" t="s">
        <v>172</v>
      </c>
      <c r="E8"/>
      <c r="F8"/>
      <c r="K8" t="s">
        <v>165</v>
      </c>
      <c r="L8" t="s">
        <v>140</v>
      </c>
      <c r="M8" t="s">
        <v>8</v>
      </c>
      <c r="N8" t="s">
        <v>166</v>
      </c>
      <c r="O8" t="s">
        <v>142</v>
      </c>
      <c r="S8" t="s">
        <v>173</v>
      </c>
      <c r="T8" t="s">
        <v>174</v>
      </c>
      <c r="U8" t="s">
        <v>175</v>
      </c>
      <c r="V8" t="s">
        <v>170</v>
      </c>
      <c r="W8" s="22"/>
    </row>
    <row r="9" spans="1:23" hidden="1" x14ac:dyDescent="0.35">
      <c r="A9"/>
      <c r="B9" s="19" t="s">
        <v>162</v>
      </c>
      <c r="C9" s="19" t="s">
        <v>176</v>
      </c>
      <c r="D9" s="19" t="s">
        <v>177</v>
      </c>
      <c r="E9"/>
      <c r="F9"/>
      <c r="K9" t="s">
        <v>178</v>
      </c>
      <c r="L9" t="s">
        <v>140</v>
      </c>
      <c r="M9" t="s">
        <v>9</v>
      </c>
      <c r="N9" t="s">
        <v>179</v>
      </c>
      <c r="O9" t="s">
        <v>142</v>
      </c>
      <c r="S9" t="s">
        <v>173</v>
      </c>
      <c r="T9" t="s">
        <v>174</v>
      </c>
      <c r="U9" t="s">
        <v>180</v>
      </c>
      <c r="V9" t="s">
        <v>170</v>
      </c>
      <c r="W9" s="22"/>
    </row>
    <row r="10" spans="1:23" hidden="1" x14ac:dyDescent="0.35">
      <c r="A10"/>
      <c r="B10" s="19" t="s">
        <v>162</v>
      </c>
      <c r="C10" s="19" t="s">
        <v>181</v>
      </c>
      <c r="D10" s="19" t="s">
        <v>182</v>
      </c>
      <c r="E10"/>
      <c r="F10"/>
      <c r="K10" t="s">
        <v>183</v>
      </c>
      <c r="L10" t="s">
        <v>140</v>
      </c>
      <c r="M10" t="s">
        <v>9</v>
      </c>
      <c r="N10" t="s">
        <v>184</v>
      </c>
      <c r="O10" t="s">
        <v>142</v>
      </c>
      <c r="S10" t="s">
        <v>173</v>
      </c>
      <c r="T10" t="s">
        <v>174</v>
      </c>
      <c r="U10" t="s">
        <v>185</v>
      </c>
      <c r="V10" t="s">
        <v>170</v>
      </c>
      <c r="W10" s="22"/>
    </row>
    <row r="11" spans="1:23" hidden="1" x14ac:dyDescent="0.35">
      <c r="A11"/>
      <c r="B11" s="19" t="s">
        <v>186</v>
      </c>
      <c r="C11" s="19" t="s">
        <v>187</v>
      </c>
      <c r="D11" s="19" t="s">
        <v>188</v>
      </c>
      <c r="E11"/>
      <c r="F11"/>
      <c r="K11" t="s">
        <v>189</v>
      </c>
      <c r="L11" t="s">
        <v>140</v>
      </c>
      <c r="M11" t="s">
        <v>8</v>
      </c>
      <c r="N11" t="s">
        <v>190</v>
      </c>
    </row>
    <row r="12" spans="1:23" hidden="1" x14ac:dyDescent="0.35">
      <c r="A12"/>
      <c r="B12" s="19" t="s">
        <v>186</v>
      </c>
      <c r="C12" s="19" t="s">
        <v>187</v>
      </c>
      <c r="D12" s="19" t="s">
        <v>191</v>
      </c>
      <c r="E12"/>
      <c r="F12"/>
      <c r="K12" t="s">
        <v>192</v>
      </c>
      <c r="L12" t="s">
        <v>140</v>
      </c>
      <c r="M12" t="s">
        <v>8</v>
      </c>
      <c r="N12" t="s">
        <v>193</v>
      </c>
    </row>
    <row r="13" spans="1:23" hidden="1" x14ac:dyDescent="0.35">
      <c r="A13"/>
      <c r="B13" s="19" t="s">
        <v>186</v>
      </c>
      <c r="C13" s="19" t="s">
        <v>187</v>
      </c>
      <c r="D13" s="19" t="s">
        <v>194</v>
      </c>
      <c r="E13"/>
      <c r="F13"/>
      <c r="K13" t="s">
        <v>195</v>
      </c>
      <c r="L13" t="s">
        <v>140</v>
      </c>
      <c r="M13" t="s">
        <v>8</v>
      </c>
      <c r="N13" t="s">
        <v>196</v>
      </c>
    </row>
    <row r="14" spans="1:23" hidden="1" x14ac:dyDescent="0.35">
      <c r="A14"/>
      <c r="B14" s="19" t="s">
        <v>186</v>
      </c>
      <c r="C14" s="19" t="s">
        <v>187</v>
      </c>
      <c r="D14" s="19" t="s">
        <v>197</v>
      </c>
      <c r="E14"/>
      <c r="F14"/>
      <c r="K14" t="s">
        <v>198</v>
      </c>
      <c r="L14" t="s">
        <v>140</v>
      </c>
      <c r="M14" t="s">
        <v>8</v>
      </c>
      <c r="N14" t="s">
        <v>199</v>
      </c>
    </row>
    <row r="15" spans="1:23" hidden="1" x14ac:dyDescent="0.35">
      <c r="A15"/>
      <c r="B15" s="19" t="s">
        <v>200</v>
      </c>
      <c r="C15" s="19" t="s">
        <v>201</v>
      </c>
      <c r="D15" s="19" t="s">
        <v>202</v>
      </c>
      <c r="E15" s="19" t="s">
        <v>203</v>
      </c>
      <c r="F15"/>
      <c r="K15" t="s">
        <v>204</v>
      </c>
      <c r="L15" t="s">
        <v>140</v>
      </c>
      <c r="M15" t="s">
        <v>11</v>
      </c>
      <c r="N15" t="s">
        <v>12</v>
      </c>
      <c r="O15" t="s">
        <v>142</v>
      </c>
    </row>
    <row r="16" spans="1:23" hidden="1" x14ac:dyDescent="0.35">
      <c r="B16" s="31" t="s">
        <v>200</v>
      </c>
      <c r="C16" s="31" t="s">
        <v>201</v>
      </c>
      <c r="D16" s="31" t="s">
        <v>205</v>
      </c>
      <c r="E16" s="21" t="s">
        <v>203</v>
      </c>
      <c r="K16" t="s">
        <v>206</v>
      </c>
      <c r="L16" t="s">
        <v>140</v>
      </c>
      <c r="M16" t="s">
        <v>8</v>
      </c>
      <c r="N16" t="s">
        <v>207</v>
      </c>
    </row>
    <row r="17" spans="1:15" hidden="1" x14ac:dyDescent="0.35">
      <c r="A17"/>
      <c r="B17" s="19" t="s">
        <v>134</v>
      </c>
      <c r="C17" s="19" t="s">
        <v>135</v>
      </c>
      <c r="D17" s="19" t="s">
        <v>136</v>
      </c>
      <c r="E17"/>
      <c r="F17"/>
      <c r="K17" t="s">
        <v>188</v>
      </c>
      <c r="L17" t="s">
        <v>186</v>
      </c>
      <c r="M17" t="s">
        <v>11</v>
      </c>
      <c r="N17" t="s">
        <v>208</v>
      </c>
      <c r="O17" t="s">
        <v>147</v>
      </c>
    </row>
    <row r="18" spans="1:15" hidden="1" x14ac:dyDescent="0.35">
      <c r="A18"/>
      <c r="B18" s="19" t="s">
        <v>134</v>
      </c>
      <c r="C18" s="19" t="s">
        <v>135</v>
      </c>
      <c r="D18" s="19" t="s">
        <v>209</v>
      </c>
      <c r="E18"/>
      <c r="F18"/>
      <c r="K18" t="s">
        <v>191</v>
      </c>
      <c r="L18" t="s">
        <v>186</v>
      </c>
      <c r="M18" t="s">
        <v>11</v>
      </c>
      <c r="N18" t="s">
        <v>210</v>
      </c>
      <c r="O18" t="s">
        <v>147</v>
      </c>
    </row>
    <row r="19" spans="1:15" hidden="1" x14ac:dyDescent="0.35">
      <c r="A19"/>
      <c r="B19" s="19" t="s">
        <v>134</v>
      </c>
      <c r="C19" s="19" t="s">
        <v>135</v>
      </c>
      <c r="D19" s="19" t="s">
        <v>211</v>
      </c>
      <c r="E19"/>
      <c r="F19"/>
      <c r="K19" t="s">
        <v>212</v>
      </c>
      <c r="L19" t="s">
        <v>186</v>
      </c>
      <c r="M19" t="s">
        <v>8</v>
      </c>
      <c r="N19" t="s">
        <v>213</v>
      </c>
      <c r="O19" t="s">
        <v>142</v>
      </c>
    </row>
    <row r="20" spans="1:15" hidden="1" x14ac:dyDescent="0.35">
      <c r="A20"/>
      <c r="B20" s="19" t="s">
        <v>134</v>
      </c>
      <c r="C20" s="19" t="s">
        <v>135</v>
      </c>
      <c r="D20" s="19" t="s">
        <v>214</v>
      </c>
      <c r="E20"/>
      <c r="F20"/>
      <c r="K20" t="s">
        <v>215</v>
      </c>
      <c r="L20" t="s">
        <v>186</v>
      </c>
      <c r="M20" t="s">
        <v>8</v>
      </c>
      <c r="N20" t="s">
        <v>216</v>
      </c>
      <c r="O20" t="s">
        <v>142</v>
      </c>
    </row>
    <row r="21" spans="1:15" hidden="1" x14ac:dyDescent="0.35">
      <c r="A21"/>
      <c r="B21" s="19" t="s">
        <v>134</v>
      </c>
      <c r="C21" s="19" t="s">
        <v>135</v>
      </c>
      <c r="D21" s="19" t="s">
        <v>217</v>
      </c>
      <c r="E21"/>
      <c r="F21"/>
      <c r="K21" t="s">
        <v>194</v>
      </c>
      <c r="L21" t="s">
        <v>186</v>
      </c>
      <c r="M21" t="s">
        <v>8</v>
      </c>
      <c r="N21" t="s">
        <v>218</v>
      </c>
      <c r="O21" t="s">
        <v>147</v>
      </c>
    </row>
    <row r="22" spans="1:15" hidden="1" x14ac:dyDescent="0.35">
      <c r="A22"/>
      <c r="B22" s="31" t="s">
        <v>167</v>
      </c>
      <c r="C22" s="31" t="s">
        <v>168</v>
      </c>
      <c r="D22" s="31" t="s">
        <v>219</v>
      </c>
      <c r="E22" t="s">
        <v>220</v>
      </c>
      <c r="K22" t="s">
        <v>197</v>
      </c>
      <c r="L22" t="s">
        <v>186</v>
      </c>
      <c r="M22" t="s">
        <v>8</v>
      </c>
      <c r="N22" t="s">
        <v>221</v>
      </c>
      <c r="O22" t="s">
        <v>147</v>
      </c>
    </row>
    <row r="23" spans="1:15" hidden="1" x14ac:dyDescent="0.35">
      <c r="A23"/>
      <c r="B23" s="31" t="s">
        <v>167</v>
      </c>
      <c r="C23" s="31" t="s">
        <v>168</v>
      </c>
      <c r="D23" s="19" t="s">
        <v>222</v>
      </c>
      <c r="E23" t="s">
        <v>220</v>
      </c>
      <c r="F23"/>
      <c r="K23" t="s">
        <v>223</v>
      </c>
      <c r="L23" t="s">
        <v>186</v>
      </c>
      <c r="M23" t="s">
        <v>9</v>
      </c>
      <c r="N23" t="s">
        <v>10</v>
      </c>
    </row>
    <row r="24" spans="1:15" hidden="1" x14ac:dyDescent="0.35">
      <c r="A24"/>
      <c r="B24" s="31" t="s">
        <v>167</v>
      </c>
      <c r="C24" s="31" t="s">
        <v>168</v>
      </c>
      <c r="D24" s="19" t="s">
        <v>224</v>
      </c>
      <c r="E24" t="s">
        <v>220</v>
      </c>
      <c r="F24"/>
      <c r="K24" t="s">
        <v>225</v>
      </c>
      <c r="L24" t="s">
        <v>186</v>
      </c>
      <c r="M24" t="s">
        <v>11</v>
      </c>
      <c r="N24" t="s">
        <v>12</v>
      </c>
      <c r="O24" t="s">
        <v>142</v>
      </c>
    </row>
    <row r="25" spans="1:15" hidden="1" x14ac:dyDescent="0.35">
      <c r="A25"/>
      <c r="B25" s="31" t="s">
        <v>167</v>
      </c>
      <c r="C25" s="31" t="s">
        <v>168</v>
      </c>
      <c r="D25" s="19" t="s">
        <v>226</v>
      </c>
      <c r="E25" t="s">
        <v>220</v>
      </c>
      <c r="F25"/>
      <c r="K25" t="s">
        <v>227</v>
      </c>
      <c r="L25" t="s">
        <v>200</v>
      </c>
      <c r="M25" t="s">
        <v>11</v>
      </c>
      <c r="N25" t="s">
        <v>228</v>
      </c>
      <c r="O25" t="s">
        <v>142</v>
      </c>
    </row>
    <row r="26" spans="1:15" hidden="1" x14ac:dyDescent="0.35">
      <c r="B26" s="31" t="s">
        <v>229</v>
      </c>
      <c r="C26" s="31" t="s">
        <v>230</v>
      </c>
      <c r="D26" s="31" t="s">
        <v>231</v>
      </c>
      <c r="E26" s="32"/>
      <c r="F26" s="33"/>
      <c r="K26" t="s">
        <v>202</v>
      </c>
      <c r="L26" t="s">
        <v>200</v>
      </c>
      <c r="M26" t="s">
        <v>8</v>
      </c>
      <c r="N26" t="s">
        <v>232</v>
      </c>
      <c r="O26" t="s">
        <v>147</v>
      </c>
    </row>
    <row r="27" spans="1:15" hidden="1" x14ac:dyDescent="0.35">
      <c r="A27"/>
      <c r="B27" s="31" t="s">
        <v>229</v>
      </c>
      <c r="C27" s="31" t="s">
        <v>230</v>
      </c>
      <c r="D27" s="19" t="s">
        <v>233</v>
      </c>
      <c r="E27"/>
      <c r="F27"/>
      <c r="K27" t="s">
        <v>234</v>
      </c>
      <c r="L27" t="s">
        <v>200</v>
      </c>
      <c r="M27" t="s">
        <v>9</v>
      </c>
      <c r="N27" t="s">
        <v>10</v>
      </c>
    </row>
    <row r="28" spans="1:15" hidden="1" x14ac:dyDescent="0.35">
      <c r="A28"/>
      <c r="B28" s="31" t="s">
        <v>229</v>
      </c>
      <c r="C28" s="31" t="s">
        <v>230</v>
      </c>
      <c r="D28" s="31" t="s">
        <v>235</v>
      </c>
      <c r="E28"/>
      <c r="K28" t="s">
        <v>236</v>
      </c>
      <c r="L28" t="s">
        <v>200</v>
      </c>
      <c r="M28" t="s">
        <v>11</v>
      </c>
      <c r="N28" t="s">
        <v>12</v>
      </c>
      <c r="O28" t="s">
        <v>142</v>
      </c>
    </row>
    <row r="29" spans="1:15" hidden="1" x14ac:dyDescent="0.35">
      <c r="A29"/>
      <c r="B29" s="31" t="s">
        <v>229</v>
      </c>
      <c r="C29" s="31" t="s">
        <v>230</v>
      </c>
      <c r="D29" s="31" t="s">
        <v>237</v>
      </c>
      <c r="K29" t="s">
        <v>238</v>
      </c>
      <c r="L29" t="s">
        <v>134</v>
      </c>
      <c r="M29" t="s">
        <v>11</v>
      </c>
      <c r="N29" t="s">
        <v>23</v>
      </c>
      <c r="O29" t="s">
        <v>142</v>
      </c>
    </row>
    <row r="30" spans="1:15" hidden="1" x14ac:dyDescent="0.35">
      <c r="B30" s="31" t="s">
        <v>153</v>
      </c>
      <c r="C30" s="31" t="s">
        <v>239</v>
      </c>
      <c r="D30" s="31" t="s">
        <v>240</v>
      </c>
      <c r="K30" t="s">
        <v>136</v>
      </c>
      <c r="L30" t="s">
        <v>134</v>
      </c>
      <c r="M30" t="s">
        <v>11</v>
      </c>
      <c r="N30" t="s">
        <v>241</v>
      </c>
      <c r="O30" t="s">
        <v>147</v>
      </c>
    </row>
    <row r="31" spans="1:15" hidden="1" x14ac:dyDescent="0.35">
      <c r="B31" s="31" t="s">
        <v>153</v>
      </c>
      <c r="C31" s="31" t="s">
        <v>239</v>
      </c>
      <c r="D31" s="31" t="s">
        <v>242</v>
      </c>
      <c r="E31" s="21" t="s">
        <v>220</v>
      </c>
      <c r="K31" t="s">
        <v>243</v>
      </c>
      <c r="L31" t="s">
        <v>134</v>
      </c>
      <c r="M31" t="s">
        <v>11</v>
      </c>
      <c r="N31" t="s">
        <v>12</v>
      </c>
      <c r="O31" t="s">
        <v>142</v>
      </c>
    </row>
    <row r="32" spans="1:15" hidden="1" x14ac:dyDescent="0.35">
      <c r="B32" s="31" t="s">
        <v>153</v>
      </c>
      <c r="C32" s="31" t="s">
        <v>239</v>
      </c>
      <c r="D32" s="31" t="s">
        <v>244</v>
      </c>
      <c r="K32" t="s">
        <v>245</v>
      </c>
      <c r="L32" t="s">
        <v>134</v>
      </c>
      <c r="M32" t="s">
        <v>11</v>
      </c>
      <c r="N32" t="s">
        <v>246</v>
      </c>
      <c r="O32" t="s">
        <v>142</v>
      </c>
    </row>
    <row r="33" spans="1:15" hidden="1" x14ac:dyDescent="0.35">
      <c r="B33" s="31" t="s">
        <v>153</v>
      </c>
      <c r="C33" s="31" t="s">
        <v>239</v>
      </c>
      <c r="D33" s="31" t="s">
        <v>247</v>
      </c>
      <c r="K33" t="s">
        <v>172</v>
      </c>
      <c r="L33" t="s">
        <v>134</v>
      </c>
      <c r="M33" t="s">
        <v>11</v>
      </c>
      <c r="N33" t="s">
        <v>248</v>
      </c>
      <c r="O33" t="s">
        <v>147</v>
      </c>
    </row>
    <row r="34" spans="1:15" hidden="1" x14ac:dyDescent="0.35">
      <c r="B34" s="31" t="s">
        <v>153</v>
      </c>
      <c r="C34" s="31" t="s">
        <v>239</v>
      </c>
      <c r="D34" s="31" t="s">
        <v>249</v>
      </c>
      <c r="K34" t="s">
        <v>30</v>
      </c>
      <c r="L34" t="s">
        <v>134</v>
      </c>
      <c r="M34" t="s">
        <v>11</v>
      </c>
      <c r="N34" t="s">
        <v>31</v>
      </c>
    </row>
    <row r="35" spans="1:15" hidden="1" x14ac:dyDescent="0.35">
      <c r="B35" s="31" t="s">
        <v>153</v>
      </c>
      <c r="C35" s="31" t="s">
        <v>239</v>
      </c>
      <c r="D35" s="31" t="s">
        <v>250</v>
      </c>
      <c r="K35" t="s">
        <v>251</v>
      </c>
      <c r="L35" t="s">
        <v>134</v>
      </c>
      <c r="M35" t="s">
        <v>8</v>
      </c>
      <c r="N35" t="s">
        <v>252</v>
      </c>
      <c r="O35" t="s">
        <v>142</v>
      </c>
    </row>
    <row r="36" spans="1:15" hidden="1" x14ac:dyDescent="0.35">
      <c r="A36"/>
      <c r="B36" s="31" t="s">
        <v>173</v>
      </c>
      <c r="C36" s="31" t="s">
        <v>253</v>
      </c>
      <c r="D36" s="31" t="s">
        <v>254</v>
      </c>
      <c r="K36" t="s">
        <v>209</v>
      </c>
      <c r="L36" t="s">
        <v>134</v>
      </c>
      <c r="M36" t="s">
        <v>8</v>
      </c>
      <c r="N36" t="s">
        <v>255</v>
      </c>
      <c r="O36" t="s">
        <v>147</v>
      </c>
    </row>
    <row r="37" spans="1:15" hidden="1" x14ac:dyDescent="0.35">
      <c r="A37"/>
      <c r="B37" s="31" t="s">
        <v>173</v>
      </c>
      <c r="C37" s="31" t="s">
        <v>253</v>
      </c>
      <c r="D37" s="31" t="s">
        <v>256</v>
      </c>
      <c r="K37" t="s">
        <v>257</v>
      </c>
      <c r="L37" t="s">
        <v>134</v>
      </c>
      <c r="M37" t="s">
        <v>8</v>
      </c>
      <c r="N37" t="s">
        <v>258</v>
      </c>
      <c r="O37" t="s">
        <v>142</v>
      </c>
    </row>
    <row r="38" spans="1:15" hidden="1" x14ac:dyDescent="0.35">
      <c r="B38" s="31" t="s">
        <v>173</v>
      </c>
      <c r="C38" s="31" t="s">
        <v>253</v>
      </c>
      <c r="D38" s="31" t="s">
        <v>259</v>
      </c>
      <c r="K38" t="s">
        <v>211</v>
      </c>
      <c r="L38" t="s">
        <v>134</v>
      </c>
      <c r="M38" t="s">
        <v>8</v>
      </c>
      <c r="N38" t="s">
        <v>260</v>
      </c>
      <c r="O38" t="s">
        <v>147</v>
      </c>
    </row>
    <row r="39" spans="1:15" hidden="1" x14ac:dyDescent="0.35">
      <c r="A39"/>
      <c r="B39" s="31" t="s">
        <v>173</v>
      </c>
      <c r="C39" s="31" t="s">
        <v>253</v>
      </c>
      <c r="D39" s="31" t="s">
        <v>261</v>
      </c>
      <c r="F39"/>
      <c r="K39" t="s">
        <v>34</v>
      </c>
      <c r="L39" t="s">
        <v>134</v>
      </c>
      <c r="M39" t="s">
        <v>8</v>
      </c>
      <c r="N39" t="s">
        <v>35</v>
      </c>
    </row>
    <row r="40" spans="1:15" hidden="1" x14ac:dyDescent="0.35">
      <c r="A40"/>
      <c r="B40" s="31" t="s">
        <v>173</v>
      </c>
      <c r="C40" s="31" t="s">
        <v>253</v>
      </c>
      <c r="D40" s="31" t="s">
        <v>262</v>
      </c>
      <c r="F40"/>
      <c r="K40" t="s">
        <v>263</v>
      </c>
      <c r="L40" t="s">
        <v>134</v>
      </c>
      <c r="M40" t="s">
        <v>9</v>
      </c>
      <c r="N40" t="s">
        <v>264</v>
      </c>
      <c r="O40" t="s">
        <v>142</v>
      </c>
    </row>
    <row r="41" spans="1:15" hidden="1" x14ac:dyDescent="0.35">
      <c r="A41"/>
      <c r="B41" s="31" t="s">
        <v>173</v>
      </c>
      <c r="C41" s="31" t="s">
        <v>253</v>
      </c>
      <c r="D41" s="31" t="s">
        <v>265</v>
      </c>
      <c r="F41"/>
      <c r="K41" t="s">
        <v>266</v>
      </c>
      <c r="L41" t="s">
        <v>134</v>
      </c>
      <c r="M41" t="s">
        <v>9</v>
      </c>
      <c r="N41" t="s">
        <v>267</v>
      </c>
      <c r="O41" t="s">
        <v>142</v>
      </c>
    </row>
    <row r="42" spans="1:15" x14ac:dyDescent="0.35">
      <c r="A42"/>
      <c r="B42" s="31" t="s">
        <v>173</v>
      </c>
      <c r="C42" s="31" t="s">
        <v>253</v>
      </c>
      <c r="D42" s="31" t="s">
        <v>268</v>
      </c>
      <c r="F42"/>
      <c r="K42" t="s">
        <v>19</v>
      </c>
      <c r="L42" t="s">
        <v>140</v>
      </c>
      <c r="M42" t="s">
        <v>11</v>
      </c>
      <c r="N42" t="s">
        <v>20</v>
      </c>
      <c r="O42" t="s">
        <v>142</v>
      </c>
    </row>
    <row r="43" spans="1:15" x14ac:dyDescent="0.35">
      <c r="B43" s="31" t="s">
        <v>173</v>
      </c>
      <c r="C43" s="31" t="s">
        <v>253</v>
      </c>
      <c r="D43" s="31" t="s">
        <v>269</v>
      </c>
      <c r="K43" t="s">
        <v>19</v>
      </c>
      <c r="L43" t="s">
        <v>186</v>
      </c>
      <c r="M43" t="s">
        <v>11</v>
      </c>
      <c r="N43" t="s">
        <v>20</v>
      </c>
      <c r="O43" t="s">
        <v>142</v>
      </c>
    </row>
    <row r="44" spans="1:15" x14ac:dyDescent="0.35">
      <c r="B44" s="31" t="s">
        <v>270</v>
      </c>
      <c r="C44" s="31" t="s">
        <v>271</v>
      </c>
      <c r="D44" s="31" t="s">
        <v>272</v>
      </c>
      <c r="K44" t="s">
        <v>19</v>
      </c>
      <c r="L44" t="s">
        <v>167</v>
      </c>
      <c r="M44" t="s">
        <v>11</v>
      </c>
      <c r="N44" t="s">
        <v>20</v>
      </c>
      <c r="O44" t="s">
        <v>142</v>
      </c>
    </row>
    <row r="45" spans="1:15" x14ac:dyDescent="0.35">
      <c r="B45" s="31" t="s">
        <v>270</v>
      </c>
      <c r="C45" s="31" t="s">
        <v>271</v>
      </c>
      <c r="D45" s="31" t="s">
        <v>273</v>
      </c>
      <c r="K45" t="s">
        <v>19</v>
      </c>
      <c r="L45" t="s">
        <v>229</v>
      </c>
      <c r="M45" t="s">
        <v>11</v>
      </c>
      <c r="N45" t="s">
        <v>20</v>
      </c>
      <c r="O45" t="s">
        <v>142</v>
      </c>
    </row>
    <row r="46" spans="1:15" x14ac:dyDescent="0.35">
      <c r="B46" s="31" t="s">
        <v>270</v>
      </c>
      <c r="C46" s="31" t="s">
        <v>271</v>
      </c>
      <c r="D46" s="31" t="s">
        <v>274</v>
      </c>
      <c r="K46" t="s">
        <v>19</v>
      </c>
      <c r="L46" t="s">
        <v>153</v>
      </c>
      <c r="M46" t="s">
        <v>11</v>
      </c>
      <c r="N46" t="s">
        <v>20</v>
      </c>
      <c r="O46" t="s">
        <v>142</v>
      </c>
    </row>
    <row r="47" spans="1:15" x14ac:dyDescent="0.35">
      <c r="B47" s="34" t="s">
        <v>275</v>
      </c>
      <c r="C47" s="34" t="s">
        <v>276</v>
      </c>
      <c r="E47" s="21" t="s">
        <v>220</v>
      </c>
      <c r="F47" s="22" t="s">
        <v>277</v>
      </c>
      <c r="K47" t="s">
        <v>19</v>
      </c>
      <c r="L47" t="s">
        <v>173</v>
      </c>
      <c r="M47" t="s">
        <v>11</v>
      </c>
      <c r="N47" t="s">
        <v>20</v>
      </c>
      <c r="O47" t="s">
        <v>142</v>
      </c>
    </row>
    <row r="48" spans="1:15" x14ac:dyDescent="0.35">
      <c r="B48" s="34" t="s">
        <v>278</v>
      </c>
      <c r="C48" s="34" t="s">
        <v>279</v>
      </c>
      <c r="K48" t="s">
        <v>19</v>
      </c>
      <c r="L48" t="s">
        <v>280</v>
      </c>
      <c r="M48" t="s">
        <v>11</v>
      </c>
      <c r="N48" t="s">
        <v>20</v>
      </c>
      <c r="O48" t="s">
        <v>142</v>
      </c>
    </row>
    <row r="49" spans="2:15" x14ac:dyDescent="0.35">
      <c r="B49" s="34" t="s">
        <v>281</v>
      </c>
      <c r="C49" s="34" t="s">
        <v>230</v>
      </c>
      <c r="K49" t="s">
        <v>19</v>
      </c>
      <c r="L49" t="s">
        <v>282</v>
      </c>
      <c r="M49" t="s">
        <v>11</v>
      </c>
      <c r="N49" t="s">
        <v>20</v>
      </c>
      <c r="O49" t="s">
        <v>142</v>
      </c>
    </row>
    <row r="50" spans="2:15" x14ac:dyDescent="0.35">
      <c r="B50" s="31" t="s">
        <v>280</v>
      </c>
      <c r="C50" s="31" t="s">
        <v>283</v>
      </c>
      <c r="D50" s="31" t="s">
        <v>284</v>
      </c>
      <c r="K50" t="s">
        <v>19</v>
      </c>
      <c r="L50" t="s">
        <v>282</v>
      </c>
      <c r="M50" t="s">
        <v>11</v>
      </c>
      <c r="N50" t="s">
        <v>20</v>
      </c>
      <c r="O50" t="s">
        <v>142</v>
      </c>
    </row>
    <row r="51" spans="2:15" x14ac:dyDescent="0.35">
      <c r="B51" s="31" t="s">
        <v>280</v>
      </c>
      <c r="C51" s="31" t="s">
        <v>283</v>
      </c>
      <c r="D51" s="31" t="s">
        <v>285</v>
      </c>
      <c r="K51" t="s">
        <v>19</v>
      </c>
      <c r="L51" t="s">
        <v>286</v>
      </c>
      <c r="M51" t="s">
        <v>11</v>
      </c>
      <c r="N51" t="s">
        <v>20</v>
      </c>
      <c r="O51" t="s">
        <v>142</v>
      </c>
    </row>
    <row r="52" spans="2:15" hidden="1" x14ac:dyDescent="0.35">
      <c r="B52" s="31" t="s">
        <v>280</v>
      </c>
      <c r="C52" s="31" t="s">
        <v>283</v>
      </c>
      <c r="D52" s="31" t="s">
        <v>287</v>
      </c>
      <c r="K52" t="s">
        <v>245</v>
      </c>
      <c r="L52" t="s">
        <v>186</v>
      </c>
      <c r="M52" t="s">
        <v>11</v>
      </c>
      <c r="N52" t="s">
        <v>246</v>
      </c>
      <c r="O52" t="s">
        <v>142</v>
      </c>
    </row>
    <row r="53" spans="2:15" hidden="1" x14ac:dyDescent="0.35">
      <c r="B53" s="31" t="s">
        <v>280</v>
      </c>
      <c r="C53" s="31" t="s">
        <v>283</v>
      </c>
      <c r="D53" s="31" t="s">
        <v>288</v>
      </c>
      <c r="K53" t="s">
        <v>214</v>
      </c>
      <c r="L53" t="s">
        <v>134</v>
      </c>
      <c r="M53" t="s">
        <v>9</v>
      </c>
      <c r="N53" t="s">
        <v>289</v>
      </c>
      <c r="O53" t="s">
        <v>147</v>
      </c>
    </row>
    <row r="54" spans="2:15" hidden="1" x14ac:dyDescent="0.35">
      <c r="B54" s="31" t="s">
        <v>280</v>
      </c>
      <c r="C54" s="31" t="s">
        <v>283</v>
      </c>
      <c r="D54" s="31" t="s">
        <v>290</v>
      </c>
      <c r="K54" t="s">
        <v>164</v>
      </c>
      <c r="L54" t="s">
        <v>270</v>
      </c>
      <c r="M54" t="s">
        <v>8</v>
      </c>
      <c r="N54" t="s">
        <v>291</v>
      </c>
      <c r="O54" t="s">
        <v>147</v>
      </c>
    </row>
    <row r="55" spans="2:15" hidden="1" x14ac:dyDescent="0.35">
      <c r="B55" s="31" t="s">
        <v>280</v>
      </c>
      <c r="C55" s="31" t="s">
        <v>283</v>
      </c>
      <c r="D55" s="31" t="s">
        <v>292</v>
      </c>
      <c r="K55" t="s">
        <v>217</v>
      </c>
      <c r="L55" t="s">
        <v>134</v>
      </c>
      <c r="M55" t="s">
        <v>9</v>
      </c>
      <c r="N55" t="s">
        <v>293</v>
      </c>
      <c r="O55" t="s">
        <v>147</v>
      </c>
    </row>
    <row r="56" spans="2:15" hidden="1" x14ac:dyDescent="0.35">
      <c r="B56" s="31" t="s">
        <v>282</v>
      </c>
      <c r="C56" s="31" t="s">
        <v>271</v>
      </c>
      <c r="D56" s="31" t="s">
        <v>294</v>
      </c>
      <c r="K56" t="s">
        <v>172</v>
      </c>
      <c r="L56" t="s">
        <v>167</v>
      </c>
      <c r="M56" t="s">
        <v>11</v>
      </c>
      <c r="N56" t="s">
        <v>248</v>
      </c>
      <c r="O56" t="s">
        <v>147</v>
      </c>
    </row>
    <row r="57" spans="2:15" hidden="1" x14ac:dyDescent="0.35">
      <c r="B57" s="31" t="s">
        <v>286</v>
      </c>
      <c r="C57" s="31" t="s">
        <v>176</v>
      </c>
      <c r="D57" s="31" t="s">
        <v>295</v>
      </c>
      <c r="K57" t="s">
        <v>172</v>
      </c>
      <c r="L57" t="s">
        <v>229</v>
      </c>
      <c r="M57" t="s">
        <v>11</v>
      </c>
      <c r="N57" t="s">
        <v>248</v>
      </c>
      <c r="O57" t="s">
        <v>147</v>
      </c>
    </row>
    <row r="58" spans="2:15" hidden="1" x14ac:dyDescent="0.35">
      <c r="B58" s="31" t="s">
        <v>286</v>
      </c>
      <c r="C58" s="31" t="s">
        <v>176</v>
      </c>
      <c r="D58" s="31" t="s">
        <v>296</v>
      </c>
      <c r="K58" t="s">
        <v>172</v>
      </c>
      <c r="L58" t="s">
        <v>286</v>
      </c>
      <c r="M58" t="s">
        <v>11</v>
      </c>
      <c r="N58" t="s">
        <v>248</v>
      </c>
      <c r="O58" t="s">
        <v>147</v>
      </c>
    </row>
    <row r="59" spans="2:15" hidden="1" x14ac:dyDescent="0.35">
      <c r="B59" s="31" t="s">
        <v>286</v>
      </c>
      <c r="C59" s="31" t="s">
        <v>176</v>
      </c>
      <c r="D59" s="31" t="s">
        <v>297</v>
      </c>
      <c r="K59" t="s">
        <v>177</v>
      </c>
      <c r="L59" t="s">
        <v>153</v>
      </c>
      <c r="M59" t="s">
        <v>11</v>
      </c>
      <c r="N59" t="s">
        <v>298</v>
      </c>
      <c r="O59" t="s">
        <v>147</v>
      </c>
    </row>
    <row r="60" spans="2:15" hidden="1" x14ac:dyDescent="0.35">
      <c r="B60" s="31" t="s">
        <v>286</v>
      </c>
      <c r="C60" s="31" t="s">
        <v>176</v>
      </c>
      <c r="D60" s="31" t="s">
        <v>299</v>
      </c>
      <c r="K60" t="s">
        <v>177</v>
      </c>
      <c r="L60" t="s">
        <v>270</v>
      </c>
      <c r="M60" t="s">
        <v>11</v>
      </c>
      <c r="N60" t="s">
        <v>298</v>
      </c>
      <c r="O60" t="s">
        <v>147</v>
      </c>
    </row>
    <row r="61" spans="2:15" hidden="1" x14ac:dyDescent="0.35">
      <c r="B61" s="31" t="s">
        <v>300</v>
      </c>
      <c r="D61" s="31" t="s">
        <v>301</v>
      </c>
      <c r="E61" s="21" t="s">
        <v>132</v>
      </c>
      <c r="K61" t="s">
        <v>182</v>
      </c>
      <c r="L61" t="s">
        <v>229</v>
      </c>
      <c r="M61" t="s">
        <v>8</v>
      </c>
      <c r="N61" t="s">
        <v>302</v>
      </c>
      <c r="O61" t="s">
        <v>147</v>
      </c>
    </row>
    <row r="62" spans="2:15" hidden="1" x14ac:dyDescent="0.35">
      <c r="B62" s="31" t="s">
        <v>300</v>
      </c>
      <c r="D62" s="31" t="s">
        <v>303</v>
      </c>
      <c r="E62" s="21" t="s">
        <v>132</v>
      </c>
      <c r="K62" t="s">
        <v>182</v>
      </c>
      <c r="L62" t="s">
        <v>229</v>
      </c>
      <c r="M62" t="s">
        <v>304</v>
      </c>
      <c r="N62" s="35" t="s">
        <v>302</v>
      </c>
      <c r="O62" t="s">
        <v>147</v>
      </c>
    </row>
    <row r="63" spans="2:15" hidden="1" x14ac:dyDescent="0.35">
      <c r="B63" s="31" t="s">
        <v>300</v>
      </c>
      <c r="D63" s="31" t="s">
        <v>305</v>
      </c>
      <c r="E63" s="21" t="s">
        <v>132</v>
      </c>
      <c r="K63" t="s">
        <v>182</v>
      </c>
      <c r="L63" t="s">
        <v>153</v>
      </c>
      <c r="M63" t="s">
        <v>8</v>
      </c>
      <c r="N63" t="s">
        <v>302</v>
      </c>
      <c r="O63" t="s">
        <v>147</v>
      </c>
    </row>
    <row r="64" spans="2:15" hidden="1" x14ac:dyDescent="0.35">
      <c r="B64" s="34" t="s">
        <v>306</v>
      </c>
      <c r="C64" s="34"/>
      <c r="D64" s="34" t="s">
        <v>307</v>
      </c>
      <c r="E64" s="21" t="s">
        <v>308</v>
      </c>
      <c r="K64" t="s">
        <v>309</v>
      </c>
      <c r="L64" t="s">
        <v>167</v>
      </c>
      <c r="M64" t="s">
        <v>11</v>
      </c>
      <c r="N64" t="s">
        <v>310</v>
      </c>
      <c r="O64" t="s">
        <v>142</v>
      </c>
    </row>
    <row r="65" spans="2:15" hidden="1" x14ac:dyDescent="0.35">
      <c r="B65" s="34" t="s">
        <v>306</v>
      </c>
      <c r="C65" s="34"/>
      <c r="D65" s="34" t="s">
        <v>311</v>
      </c>
      <c r="K65" t="s">
        <v>219</v>
      </c>
      <c r="L65" t="s">
        <v>167</v>
      </c>
      <c r="M65" t="s">
        <v>8</v>
      </c>
      <c r="N65" t="s">
        <v>260</v>
      </c>
      <c r="O65" t="s">
        <v>147</v>
      </c>
    </row>
    <row r="66" spans="2:15" hidden="1" x14ac:dyDescent="0.35">
      <c r="B66" s="34" t="s">
        <v>306</v>
      </c>
      <c r="C66" s="34"/>
      <c r="D66" s="34" t="s">
        <v>312</v>
      </c>
      <c r="K66" t="s">
        <v>222</v>
      </c>
      <c r="L66" t="s">
        <v>167</v>
      </c>
      <c r="M66" t="s">
        <v>8</v>
      </c>
      <c r="N66" t="s">
        <v>313</v>
      </c>
      <c r="O66" t="s">
        <v>147</v>
      </c>
    </row>
    <row r="67" spans="2:15" hidden="1" x14ac:dyDescent="0.35">
      <c r="K67" t="s">
        <v>224</v>
      </c>
      <c r="L67" t="s">
        <v>167</v>
      </c>
      <c r="M67" t="s">
        <v>8</v>
      </c>
      <c r="N67" t="s">
        <v>241</v>
      </c>
      <c r="O67" t="s">
        <v>147</v>
      </c>
    </row>
    <row r="68" spans="2:15" hidden="1" x14ac:dyDescent="0.35">
      <c r="K68" t="s">
        <v>314</v>
      </c>
      <c r="L68" t="s">
        <v>167</v>
      </c>
      <c r="M68" t="s">
        <v>8</v>
      </c>
      <c r="N68" t="s">
        <v>315</v>
      </c>
      <c r="O68" t="s">
        <v>142</v>
      </c>
    </row>
    <row r="69" spans="2:15" hidden="1" x14ac:dyDescent="0.35">
      <c r="K69" t="s">
        <v>226</v>
      </c>
      <c r="L69" t="s">
        <v>167</v>
      </c>
      <c r="M69" t="s">
        <v>8</v>
      </c>
      <c r="N69" t="s">
        <v>316</v>
      </c>
      <c r="O69" t="s">
        <v>147</v>
      </c>
    </row>
    <row r="70" spans="2:15" hidden="1" x14ac:dyDescent="0.35">
      <c r="K70" t="s">
        <v>317</v>
      </c>
      <c r="L70" t="s">
        <v>167</v>
      </c>
      <c r="M70" t="s">
        <v>11</v>
      </c>
      <c r="N70" t="s">
        <v>12</v>
      </c>
      <c r="O70" t="s">
        <v>142</v>
      </c>
    </row>
    <row r="71" spans="2:15" hidden="1" x14ac:dyDescent="0.35">
      <c r="K71" t="s">
        <v>318</v>
      </c>
      <c r="L71" t="s">
        <v>167</v>
      </c>
      <c r="M71" t="s">
        <v>9</v>
      </c>
      <c r="N71" t="s">
        <v>10</v>
      </c>
    </row>
    <row r="72" spans="2:15" hidden="1" x14ac:dyDescent="0.35">
      <c r="K72" t="s">
        <v>319</v>
      </c>
      <c r="L72" t="s">
        <v>229</v>
      </c>
      <c r="M72" t="s">
        <v>11</v>
      </c>
      <c r="N72" t="s">
        <v>141</v>
      </c>
      <c r="O72" t="s">
        <v>142</v>
      </c>
    </row>
    <row r="73" spans="2:15" hidden="1" x14ac:dyDescent="0.35">
      <c r="K73" t="s">
        <v>320</v>
      </c>
      <c r="L73" t="s">
        <v>229</v>
      </c>
      <c r="M73" t="s">
        <v>8</v>
      </c>
      <c r="N73" s="36" t="s">
        <v>260</v>
      </c>
      <c r="O73" t="s">
        <v>142</v>
      </c>
    </row>
    <row r="74" spans="2:15" hidden="1" x14ac:dyDescent="0.35">
      <c r="K74" t="s">
        <v>320</v>
      </c>
      <c r="L74" t="s">
        <v>229</v>
      </c>
      <c r="M74" t="s">
        <v>9</v>
      </c>
      <c r="N74" s="36" t="s">
        <v>260</v>
      </c>
      <c r="O74" t="s">
        <v>142</v>
      </c>
    </row>
    <row r="75" spans="2:15" hidden="1" x14ac:dyDescent="0.35">
      <c r="K75" t="s">
        <v>231</v>
      </c>
      <c r="L75" t="s">
        <v>229</v>
      </c>
      <c r="M75" t="s">
        <v>8</v>
      </c>
      <c r="N75" t="s">
        <v>321</v>
      </c>
      <c r="O75" t="s">
        <v>147</v>
      </c>
    </row>
    <row r="76" spans="2:15" hidden="1" x14ac:dyDescent="0.35">
      <c r="K76" t="s">
        <v>233</v>
      </c>
      <c r="L76" t="s">
        <v>229</v>
      </c>
      <c r="M76" t="s">
        <v>9</v>
      </c>
      <c r="N76" t="s">
        <v>321</v>
      </c>
      <c r="O76" t="s">
        <v>147</v>
      </c>
    </row>
    <row r="77" spans="2:15" hidden="1" x14ac:dyDescent="0.35">
      <c r="K77" t="s">
        <v>322</v>
      </c>
      <c r="L77" t="s">
        <v>229</v>
      </c>
      <c r="M77" t="s">
        <v>8</v>
      </c>
      <c r="N77" s="36" t="s">
        <v>323</v>
      </c>
      <c r="O77" t="s">
        <v>142</v>
      </c>
    </row>
    <row r="78" spans="2:15" hidden="1" x14ac:dyDescent="0.35">
      <c r="K78" t="s">
        <v>322</v>
      </c>
      <c r="L78" t="s">
        <v>229</v>
      </c>
      <c r="M78" t="s">
        <v>304</v>
      </c>
      <c r="N78" s="36" t="s">
        <v>323</v>
      </c>
      <c r="O78" t="s">
        <v>142</v>
      </c>
    </row>
    <row r="79" spans="2:15" hidden="1" x14ac:dyDescent="0.35">
      <c r="K79" t="s">
        <v>235</v>
      </c>
      <c r="L79" t="s">
        <v>229</v>
      </c>
      <c r="M79" t="s">
        <v>8</v>
      </c>
      <c r="N79" s="35" t="s">
        <v>324</v>
      </c>
      <c r="O79" t="s">
        <v>147</v>
      </c>
    </row>
    <row r="80" spans="2:15" hidden="1" x14ac:dyDescent="0.35">
      <c r="K80" t="s">
        <v>237</v>
      </c>
      <c r="L80" t="s">
        <v>229</v>
      </c>
      <c r="M80" t="s">
        <v>304</v>
      </c>
      <c r="N80" s="35" t="s">
        <v>324</v>
      </c>
      <c r="O80" t="s">
        <v>147</v>
      </c>
    </row>
    <row r="81" spans="11:15" hidden="1" x14ac:dyDescent="0.35">
      <c r="K81" t="s">
        <v>325</v>
      </c>
      <c r="L81" t="s">
        <v>229</v>
      </c>
      <c r="M81" t="s">
        <v>11</v>
      </c>
      <c r="N81" t="s">
        <v>12</v>
      </c>
      <c r="O81" t="s">
        <v>142</v>
      </c>
    </row>
    <row r="82" spans="11:15" hidden="1" x14ac:dyDescent="0.35">
      <c r="K82" t="s">
        <v>326</v>
      </c>
      <c r="L82" t="s">
        <v>229</v>
      </c>
      <c r="M82" t="s">
        <v>9</v>
      </c>
      <c r="N82" t="s">
        <v>10</v>
      </c>
    </row>
    <row r="83" spans="11:15" hidden="1" x14ac:dyDescent="0.35">
      <c r="K83" t="s">
        <v>326</v>
      </c>
      <c r="L83" t="s">
        <v>229</v>
      </c>
      <c r="M83" t="s">
        <v>327</v>
      </c>
      <c r="N83" t="s">
        <v>10</v>
      </c>
    </row>
    <row r="84" spans="11:15" hidden="1" x14ac:dyDescent="0.35">
      <c r="K84" t="s">
        <v>14</v>
      </c>
      <c r="L84" t="s">
        <v>200</v>
      </c>
      <c r="M84" t="s">
        <v>11</v>
      </c>
      <c r="N84" t="s">
        <v>21</v>
      </c>
    </row>
    <row r="85" spans="11:15" hidden="1" x14ac:dyDescent="0.35">
      <c r="K85" t="s">
        <v>14</v>
      </c>
      <c r="L85" t="s">
        <v>200</v>
      </c>
      <c r="M85" t="s">
        <v>11</v>
      </c>
      <c r="N85" t="s">
        <v>21</v>
      </c>
    </row>
    <row r="86" spans="11:15" hidden="1" x14ac:dyDescent="0.35">
      <c r="K86" t="s">
        <v>22</v>
      </c>
      <c r="L86" t="s">
        <v>200</v>
      </c>
      <c r="M86" t="s">
        <v>11</v>
      </c>
      <c r="N86" t="s">
        <v>23</v>
      </c>
    </row>
    <row r="87" spans="11:15" hidden="1" x14ac:dyDescent="0.35">
      <c r="K87" t="s">
        <v>22</v>
      </c>
      <c r="L87" t="s">
        <v>200</v>
      </c>
      <c r="M87" t="s">
        <v>11</v>
      </c>
      <c r="N87" t="s">
        <v>23</v>
      </c>
    </row>
    <row r="88" spans="11:15" hidden="1" x14ac:dyDescent="0.35">
      <c r="K88" t="s">
        <v>22</v>
      </c>
      <c r="L88" t="s">
        <v>282</v>
      </c>
      <c r="M88" t="s">
        <v>8</v>
      </c>
      <c r="N88" t="s">
        <v>23</v>
      </c>
    </row>
    <row r="89" spans="11:15" hidden="1" x14ac:dyDescent="0.35">
      <c r="K89" t="s">
        <v>22</v>
      </c>
      <c r="L89" t="s">
        <v>282</v>
      </c>
      <c r="M89" t="s">
        <v>8</v>
      </c>
      <c r="N89" t="s">
        <v>23</v>
      </c>
    </row>
    <row r="90" spans="11:15" hidden="1" x14ac:dyDescent="0.35">
      <c r="K90" t="s">
        <v>15</v>
      </c>
      <c r="L90" t="s">
        <v>200</v>
      </c>
      <c r="M90" t="s">
        <v>11</v>
      </c>
      <c r="N90" t="s">
        <v>24</v>
      </c>
    </row>
    <row r="91" spans="11:15" hidden="1" x14ac:dyDescent="0.35">
      <c r="K91" t="s">
        <v>15</v>
      </c>
      <c r="L91" t="s">
        <v>200</v>
      </c>
      <c r="M91" t="s">
        <v>11</v>
      </c>
      <c r="N91" t="s">
        <v>24</v>
      </c>
    </row>
    <row r="92" spans="11:15" hidden="1" x14ac:dyDescent="0.35">
      <c r="K92" t="s">
        <v>16</v>
      </c>
      <c r="L92" t="s">
        <v>200</v>
      </c>
      <c r="M92" t="s">
        <v>8</v>
      </c>
      <c r="N92" t="s">
        <v>25</v>
      </c>
    </row>
    <row r="93" spans="11:15" hidden="1" x14ac:dyDescent="0.35">
      <c r="K93" t="s">
        <v>16</v>
      </c>
      <c r="L93" t="s">
        <v>200</v>
      </c>
      <c r="M93" t="s">
        <v>8</v>
      </c>
      <c r="N93" t="s">
        <v>25</v>
      </c>
    </row>
    <row r="94" spans="11:15" hidden="1" x14ac:dyDescent="0.35">
      <c r="K94" t="s">
        <v>328</v>
      </c>
      <c r="L94" t="s">
        <v>134</v>
      </c>
      <c r="M94" t="s">
        <v>9</v>
      </c>
      <c r="N94" t="s">
        <v>329</v>
      </c>
      <c r="O94" t="s">
        <v>142</v>
      </c>
    </row>
    <row r="95" spans="11:15" hidden="1" x14ac:dyDescent="0.35">
      <c r="K95" t="s">
        <v>18</v>
      </c>
      <c r="L95" t="s">
        <v>200</v>
      </c>
      <c r="M95" t="s">
        <v>8</v>
      </c>
      <c r="N95" t="s">
        <v>27</v>
      </c>
    </row>
    <row r="96" spans="11:15" hidden="1" x14ac:dyDescent="0.35">
      <c r="K96" t="s">
        <v>18</v>
      </c>
      <c r="L96" t="s">
        <v>200</v>
      </c>
      <c r="M96" t="s">
        <v>8</v>
      </c>
      <c r="N96" t="s">
        <v>27</v>
      </c>
    </row>
    <row r="97" spans="11:15" hidden="1" x14ac:dyDescent="0.35">
      <c r="K97" t="s">
        <v>254</v>
      </c>
      <c r="L97" t="s">
        <v>173</v>
      </c>
      <c r="M97" t="s">
        <v>11</v>
      </c>
      <c r="N97" t="s">
        <v>330</v>
      </c>
      <c r="O97" t="s">
        <v>147</v>
      </c>
    </row>
    <row r="98" spans="11:15" hidden="1" x14ac:dyDescent="0.35">
      <c r="K98" t="s">
        <v>256</v>
      </c>
      <c r="L98" t="s">
        <v>173</v>
      </c>
      <c r="M98" t="s">
        <v>11</v>
      </c>
      <c r="N98" t="s">
        <v>248</v>
      </c>
      <c r="O98" t="s">
        <v>147</v>
      </c>
    </row>
    <row r="99" spans="11:15" hidden="1" x14ac:dyDescent="0.35">
      <c r="K99" t="s">
        <v>259</v>
      </c>
      <c r="L99" t="s">
        <v>173</v>
      </c>
      <c r="M99" t="s">
        <v>8</v>
      </c>
      <c r="N99" t="s">
        <v>331</v>
      </c>
      <c r="O99" t="s">
        <v>147</v>
      </c>
    </row>
    <row r="100" spans="11:15" hidden="1" x14ac:dyDescent="0.35">
      <c r="K100" t="s">
        <v>261</v>
      </c>
      <c r="L100" t="s">
        <v>173</v>
      </c>
      <c r="M100" t="s">
        <v>8</v>
      </c>
      <c r="N100" t="s">
        <v>332</v>
      </c>
      <c r="O100" t="s">
        <v>147</v>
      </c>
    </row>
    <row r="101" spans="11:15" hidden="1" x14ac:dyDescent="0.35">
      <c r="K101" t="s">
        <v>262</v>
      </c>
      <c r="L101" t="s">
        <v>173</v>
      </c>
      <c r="M101" t="s">
        <v>8</v>
      </c>
      <c r="N101" t="s">
        <v>333</v>
      </c>
      <c r="O101" t="s">
        <v>147</v>
      </c>
    </row>
    <row r="102" spans="11:15" hidden="1" x14ac:dyDescent="0.35">
      <c r="K102" t="s">
        <v>334</v>
      </c>
      <c r="L102" t="s">
        <v>173</v>
      </c>
      <c r="M102" t="s">
        <v>8</v>
      </c>
      <c r="N102" t="s">
        <v>335</v>
      </c>
    </row>
    <row r="103" spans="11:15" hidden="1" x14ac:dyDescent="0.35">
      <c r="K103" t="s">
        <v>336</v>
      </c>
      <c r="L103" t="s">
        <v>173</v>
      </c>
      <c r="M103" t="s">
        <v>8</v>
      </c>
      <c r="N103" t="s">
        <v>337</v>
      </c>
    </row>
    <row r="104" spans="11:15" hidden="1" x14ac:dyDescent="0.35">
      <c r="K104" t="s">
        <v>265</v>
      </c>
      <c r="L104" t="s">
        <v>173</v>
      </c>
      <c r="M104" t="s">
        <v>8</v>
      </c>
      <c r="N104" t="s">
        <v>338</v>
      </c>
      <c r="O104" t="s">
        <v>147</v>
      </c>
    </row>
    <row r="105" spans="11:15" hidden="1" x14ac:dyDescent="0.35">
      <c r="K105" t="s">
        <v>268</v>
      </c>
      <c r="L105" t="s">
        <v>173</v>
      </c>
      <c r="M105" t="s">
        <v>8</v>
      </c>
      <c r="N105" t="s">
        <v>339</v>
      </c>
      <c r="O105" t="s">
        <v>147</v>
      </c>
    </row>
    <row r="106" spans="11:15" hidden="1" x14ac:dyDescent="0.35">
      <c r="K106" t="s">
        <v>269</v>
      </c>
      <c r="L106" t="s">
        <v>173</v>
      </c>
      <c r="M106" t="s">
        <v>8</v>
      </c>
      <c r="N106" t="s">
        <v>340</v>
      </c>
      <c r="O106" t="s">
        <v>147</v>
      </c>
    </row>
    <row r="107" spans="11:15" hidden="1" x14ac:dyDescent="0.35">
      <c r="K107" t="s">
        <v>341</v>
      </c>
      <c r="L107" t="s">
        <v>173</v>
      </c>
      <c r="M107" t="s">
        <v>8</v>
      </c>
      <c r="N107" t="s">
        <v>342</v>
      </c>
      <c r="O107" t="s">
        <v>142</v>
      </c>
    </row>
    <row r="108" spans="11:15" hidden="1" x14ac:dyDescent="0.35">
      <c r="K108" t="s">
        <v>343</v>
      </c>
      <c r="L108" t="s">
        <v>173</v>
      </c>
      <c r="M108" t="s">
        <v>11</v>
      </c>
      <c r="N108" t="s">
        <v>12</v>
      </c>
      <c r="O108" t="s">
        <v>142</v>
      </c>
    </row>
    <row r="109" spans="11:15" hidden="1" x14ac:dyDescent="0.35">
      <c r="K109" t="s">
        <v>344</v>
      </c>
      <c r="L109" t="s">
        <v>173</v>
      </c>
      <c r="M109" t="s">
        <v>9</v>
      </c>
      <c r="N109" t="s">
        <v>10</v>
      </c>
    </row>
    <row r="110" spans="11:15" hidden="1" x14ac:dyDescent="0.35">
      <c r="K110" t="s">
        <v>272</v>
      </c>
      <c r="L110" t="s">
        <v>270</v>
      </c>
      <c r="M110" t="s">
        <v>8</v>
      </c>
      <c r="N110" t="s">
        <v>345</v>
      </c>
      <c r="O110" t="s">
        <v>147</v>
      </c>
    </row>
    <row r="111" spans="11:15" hidden="1" x14ac:dyDescent="0.35">
      <c r="K111" t="s">
        <v>273</v>
      </c>
      <c r="L111" t="s">
        <v>270</v>
      </c>
      <c r="M111" t="s">
        <v>8</v>
      </c>
      <c r="N111" t="s">
        <v>346</v>
      </c>
      <c r="O111" t="s">
        <v>147</v>
      </c>
    </row>
    <row r="112" spans="11:15" hidden="1" x14ac:dyDescent="0.35">
      <c r="K112" t="s">
        <v>274</v>
      </c>
      <c r="L112" t="s">
        <v>270</v>
      </c>
      <c r="M112" t="s">
        <v>8</v>
      </c>
      <c r="N112" t="s">
        <v>347</v>
      </c>
      <c r="O112" t="s">
        <v>147</v>
      </c>
    </row>
    <row r="113" spans="11:15" hidden="1" x14ac:dyDescent="0.35">
      <c r="K113" t="s">
        <v>205</v>
      </c>
      <c r="L113" t="s">
        <v>200</v>
      </c>
      <c r="M113" t="s">
        <v>8</v>
      </c>
      <c r="N113" t="s">
        <v>348</v>
      </c>
      <c r="O113" t="s">
        <v>147</v>
      </c>
    </row>
    <row r="114" spans="11:15" hidden="1" x14ac:dyDescent="0.35">
      <c r="K114" t="s">
        <v>349</v>
      </c>
      <c r="L114" t="s">
        <v>270</v>
      </c>
      <c r="M114" t="s">
        <v>11</v>
      </c>
      <c r="N114" t="s">
        <v>12</v>
      </c>
      <c r="O114" t="s">
        <v>142</v>
      </c>
    </row>
    <row r="115" spans="11:15" hidden="1" x14ac:dyDescent="0.35">
      <c r="K115" t="s">
        <v>350</v>
      </c>
      <c r="L115" t="s">
        <v>270</v>
      </c>
      <c r="M115" t="s">
        <v>9</v>
      </c>
      <c r="N115" t="s">
        <v>13</v>
      </c>
      <c r="O115" t="s">
        <v>142</v>
      </c>
    </row>
    <row r="116" spans="11:15" hidden="1" x14ac:dyDescent="0.35">
      <c r="K116" t="s">
        <v>351</v>
      </c>
      <c r="L116" t="s">
        <v>270</v>
      </c>
      <c r="M116" t="s">
        <v>304</v>
      </c>
      <c r="N116" t="s">
        <v>352</v>
      </c>
    </row>
    <row r="117" spans="11:15" hidden="1" x14ac:dyDescent="0.35">
      <c r="K117" t="s">
        <v>353</v>
      </c>
      <c r="L117" t="s">
        <v>270</v>
      </c>
      <c r="M117" t="s">
        <v>304</v>
      </c>
      <c r="N117" t="s">
        <v>354</v>
      </c>
    </row>
    <row r="118" spans="11:15" hidden="1" x14ac:dyDescent="0.35">
      <c r="K118" t="s">
        <v>355</v>
      </c>
      <c r="L118" t="s">
        <v>270</v>
      </c>
      <c r="M118" t="s">
        <v>304</v>
      </c>
      <c r="N118" t="s">
        <v>356</v>
      </c>
    </row>
    <row r="119" spans="11:15" hidden="1" x14ac:dyDescent="0.35">
      <c r="K119" t="s">
        <v>240</v>
      </c>
      <c r="L119" t="s">
        <v>153</v>
      </c>
      <c r="M119" t="s">
        <v>11</v>
      </c>
      <c r="N119" t="s">
        <v>357</v>
      </c>
      <c r="O119" t="s">
        <v>147</v>
      </c>
    </row>
    <row r="120" spans="11:15" hidden="1" x14ac:dyDescent="0.35">
      <c r="K120" t="s">
        <v>242</v>
      </c>
      <c r="L120" t="s">
        <v>153</v>
      </c>
      <c r="M120" t="s">
        <v>11</v>
      </c>
      <c r="N120" t="s">
        <v>358</v>
      </c>
      <c r="O120" t="s">
        <v>147</v>
      </c>
    </row>
    <row r="121" spans="11:15" hidden="1" x14ac:dyDescent="0.35">
      <c r="K121" t="s">
        <v>244</v>
      </c>
      <c r="L121" t="s">
        <v>153</v>
      </c>
      <c r="M121" t="s">
        <v>8</v>
      </c>
      <c r="N121" t="s">
        <v>359</v>
      </c>
      <c r="O121" t="s">
        <v>147</v>
      </c>
    </row>
    <row r="122" spans="11:15" hidden="1" x14ac:dyDescent="0.35">
      <c r="K122" t="s">
        <v>247</v>
      </c>
      <c r="L122" t="s">
        <v>153</v>
      </c>
      <c r="M122" t="s">
        <v>8</v>
      </c>
      <c r="N122" t="s">
        <v>360</v>
      </c>
      <c r="O122" t="s">
        <v>147</v>
      </c>
    </row>
    <row r="123" spans="11:15" hidden="1" x14ac:dyDescent="0.35">
      <c r="K123" t="s">
        <v>249</v>
      </c>
      <c r="L123" t="s">
        <v>153</v>
      </c>
      <c r="M123" t="s">
        <v>8</v>
      </c>
      <c r="N123" t="s">
        <v>361</v>
      </c>
      <c r="O123" t="s">
        <v>147</v>
      </c>
    </row>
    <row r="124" spans="11:15" hidden="1" x14ac:dyDescent="0.35">
      <c r="K124" t="s">
        <v>362</v>
      </c>
      <c r="L124" t="s">
        <v>153</v>
      </c>
      <c r="M124" t="s">
        <v>8</v>
      </c>
      <c r="N124" t="s">
        <v>363</v>
      </c>
      <c r="O124" t="s">
        <v>142</v>
      </c>
    </row>
    <row r="125" spans="11:15" hidden="1" x14ac:dyDescent="0.35">
      <c r="K125" t="s">
        <v>364</v>
      </c>
      <c r="L125" t="s">
        <v>153</v>
      </c>
      <c r="M125" t="s">
        <v>11</v>
      </c>
      <c r="N125" t="s">
        <v>12</v>
      </c>
      <c r="O125" t="s">
        <v>142</v>
      </c>
    </row>
    <row r="126" spans="11:15" hidden="1" x14ac:dyDescent="0.35">
      <c r="K126" t="s">
        <v>250</v>
      </c>
      <c r="L126" t="s">
        <v>153</v>
      </c>
      <c r="M126" t="s">
        <v>8</v>
      </c>
      <c r="N126" t="s">
        <v>365</v>
      </c>
      <c r="O126" t="s">
        <v>147</v>
      </c>
    </row>
    <row r="127" spans="11:15" hidden="1" x14ac:dyDescent="0.35">
      <c r="K127" t="s">
        <v>366</v>
      </c>
      <c r="L127" t="s">
        <v>153</v>
      </c>
      <c r="M127" t="s">
        <v>9</v>
      </c>
      <c r="N127" t="s">
        <v>10</v>
      </c>
    </row>
    <row r="128" spans="11:15" hidden="1" x14ac:dyDescent="0.35">
      <c r="K128" t="s">
        <v>284</v>
      </c>
      <c r="L128" t="s">
        <v>280</v>
      </c>
      <c r="M128" t="s">
        <v>11</v>
      </c>
      <c r="N128" t="s">
        <v>367</v>
      </c>
      <c r="O128" t="s">
        <v>147</v>
      </c>
    </row>
    <row r="129" spans="11:15" hidden="1" x14ac:dyDescent="0.35">
      <c r="K129" t="s">
        <v>285</v>
      </c>
      <c r="L129" t="s">
        <v>280</v>
      </c>
      <c r="M129" t="s">
        <v>11</v>
      </c>
      <c r="N129" t="s">
        <v>368</v>
      </c>
      <c r="O129" t="s">
        <v>147</v>
      </c>
    </row>
    <row r="130" spans="11:15" hidden="1" x14ac:dyDescent="0.35">
      <c r="K130" t="s">
        <v>287</v>
      </c>
      <c r="L130" t="s">
        <v>280</v>
      </c>
      <c r="M130" t="s">
        <v>11</v>
      </c>
      <c r="N130" t="s">
        <v>369</v>
      </c>
      <c r="O130" t="s">
        <v>147</v>
      </c>
    </row>
    <row r="131" spans="11:15" hidden="1" x14ac:dyDescent="0.35">
      <c r="K131" t="s">
        <v>288</v>
      </c>
      <c r="L131" t="s">
        <v>280</v>
      </c>
      <c r="M131" t="s">
        <v>8</v>
      </c>
      <c r="N131" t="s">
        <v>370</v>
      </c>
      <c r="O131" t="s">
        <v>147</v>
      </c>
    </row>
    <row r="132" spans="11:15" hidden="1" x14ac:dyDescent="0.35">
      <c r="K132" t="s">
        <v>290</v>
      </c>
      <c r="L132" t="s">
        <v>280</v>
      </c>
      <c r="M132" t="s">
        <v>8</v>
      </c>
      <c r="N132" t="s">
        <v>371</v>
      </c>
      <c r="O132" t="s">
        <v>147</v>
      </c>
    </row>
    <row r="133" spans="11:15" hidden="1" x14ac:dyDescent="0.35">
      <c r="K133" t="s">
        <v>372</v>
      </c>
      <c r="L133" t="s">
        <v>280</v>
      </c>
      <c r="M133" t="s">
        <v>8</v>
      </c>
      <c r="N133" t="s">
        <v>373</v>
      </c>
      <c r="O133" t="s">
        <v>142</v>
      </c>
    </row>
    <row r="134" spans="11:15" hidden="1" x14ac:dyDescent="0.35">
      <c r="K134" t="s">
        <v>374</v>
      </c>
      <c r="L134" t="s">
        <v>280</v>
      </c>
      <c r="M134" t="s">
        <v>8</v>
      </c>
      <c r="N134" t="s">
        <v>375</v>
      </c>
      <c r="O134" t="s">
        <v>142</v>
      </c>
    </row>
    <row r="135" spans="11:15" hidden="1" x14ac:dyDescent="0.35">
      <c r="K135" t="s">
        <v>292</v>
      </c>
      <c r="L135" t="s">
        <v>280</v>
      </c>
      <c r="M135" t="s">
        <v>8</v>
      </c>
      <c r="N135" t="s">
        <v>376</v>
      </c>
      <c r="O135" t="s">
        <v>147</v>
      </c>
    </row>
    <row r="136" spans="11:15" hidden="1" x14ac:dyDescent="0.35">
      <c r="K136" t="s">
        <v>377</v>
      </c>
      <c r="L136" t="s">
        <v>280</v>
      </c>
      <c r="M136" t="s">
        <v>11</v>
      </c>
      <c r="N136" t="s">
        <v>12</v>
      </c>
      <c r="O136" t="s">
        <v>142</v>
      </c>
    </row>
    <row r="137" spans="11:15" hidden="1" x14ac:dyDescent="0.35">
      <c r="K137" t="s">
        <v>378</v>
      </c>
      <c r="L137" t="s">
        <v>280</v>
      </c>
      <c r="M137" t="s">
        <v>9</v>
      </c>
      <c r="N137" t="s">
        <v>10</v>
      </c>
    </row>
    <row r="138" spans="11:15" hidden="1" x14ac:dyDescent="0.35">
      <c r="K138" t="s">
        <v>379</v>
      </c>
      <c r="L138" t="s">
        <v>282</v>
      </c>
      <c r="M138" t="s">
        <v>11</v>
      </c>
      <c r="N138" t="s">
        <v>380</v>
      </c>
      <c r="O138" t="s">
        <v>142</v>
      </c>
    </row>
    <row r="139" spans="11:15" hidden="1" x14ac:dyDescent="0.35">
      <c r="K139" t="s">
        <v>381</v>
      </c>
      <c r="L139" t="s">
        <v>282</v>
      </c>
      <c r="M139" t="s">
        <v>11</v>
      </c>
      <c r="N139" t="s">
        <v>382</v>
      </c>
      <c r="O139" t="s">
        <v>142</v>
      </c>
    </row>
    <row r="140" spans="11:15" hidden="1" x14ac:dyDescent="0.35">
      <c r="K140" t="s">
        <v>383</v>
      </c>
      <c r="L140" t="s">
        <v>282</v>
      </c>
      <c r="M140" t="s">
        <v>8</v>
      </c>
      <c r="N140" t="s">
        <v>384</v>
      </c>
      <c r="O140" t="s">
        <v>142</v>
      </c>
    </row>
    <row r="141" spans="11:15" hidden="1" x14ac:dyDescent="0.35">
      <c r="K141" t="s">
        <v>385</v>
      </c>
      <c r="L141" t="s">
        <v>282</v>
      </c>
      <c r="M141" t="s">
        <v>8</v>
      </c>
      <c r="N141" t="s">
        <v>386</v>
      </c>
      <c r="O141" t="s">
        <v>142</v>
      </c>
    </row>
    <row r="142" spans="11:15" hidden="1" x14ac:dyDescent="0.35">
      <c r="K142" t="s">
        <v>294</v>
      </c>
      <c r="L142" t="s">
        <v>282</v>
      </c>
      <c r="M142" t="s">
        <v>8</v>
      </c>
      <c r="N142" t="s">
        <v>387</v>
      </c>
      <c r="O142" t="s">
        <v>147</v>
      </c>
    </row>
    <row r="143" spans="11:15" hidden="1" x14ac:dyDescent="0.35">
      <c r="K143" t="s">
        <v>388</v>
      </c>
      <c r="L143" t="s">
        <v>282</v>
      </c>
      <c r="M143" t="s">
        <v>8</v>
      </c>
      <c r="N143" t="s">
        <v>389</v>
      </c>
      <c r="O143" t="s">
        <v>142</v>
      </c>
    </row>
    <row r="144" spans="11:15" hidden="1" x14ac:dyDescent="0.35">
      <c r="K144" t="s">
        <v>390</v>
      </c>
      <c r="L144" t="s">
        <v>282</v>
      </c>
      <c r="M144" t="s">
        <v>11</v>
      </c>
      <c r="N144" t="s">
        <v>12</v>
      </c>
      <c r="O144" t="s">
        <v>142</v>
      </c>
    </row>
    <row r="145" spans="11:15" hidden="1" x14ac:dyDescent="0.35">
      <c r="K145" t="s">
        <v>391</v>
      </c>
      <c r="L145" t="s">
        <v>282</v>
      </c>
      <c r="M145" t="s">
        <v>9</v>
      </c>
      <c r="N145" t="s">
        <v>352</v>
      </c>
      <c r="O145" t="s">
        <v>142</v>
      </c>
    </row>
    <row r="146" spans="11:15" hidden="1" x14ac:dyDescent="0.35">
      <c r="K146" t="s">
        <v>392</v>
      </c>
      <c r="L146" t="s">
        <v>282</v>
      </c>
      <c r="M146" t="s">
        <v>304</v>
      </c>
      <c r="N146" t="s">
        <v>10</v>
      </c>
      <c r="O146" t="s">
        <v>142</v>
      </c>
    </row>
    <row r="147" spans="11:15" hidden="1" x14ac:dyDescent="0.35">
      <c r="K147" t="s">
        <v>393</v>
      </c>
      <c r="L147" t="s">
        <v>282</v>
      </c>
      <c r="M147" t="s">
        <v>9</v>
      </c>
      <c r="N147" t="s">
        <v>394</v>
      </c>
      <c r="O147" t="s">
        <v>142</v>
      </c>
    </row>
    <row r="148" spans="11:15" hidden="1" x14ac:dyDescent="0.35">
      <c r="K148" t="s">
        <v>395</v>
      </c>
      <c r="L148" t="s">
        <v>282</v>
      </c>
      <c r="M148" t="s">
        <v>9</v>
      </c>
      <c r="N148" t="s">
        <v>396</v>
      </c>
      <c r="O148" t="s">
        <v>142</v>
      </c>
    </row>
    <row r="149" spans="11:15" hidden="1" x14ac:dyDescent="0.35">
      <c r="K149" t="s">
        <v>397</v>
      </c>
      <c r="L149" t="s">
        <v>282</v>
      </c>
      <c r="M149" t="s">
        <v>9</v>
      </c>
      <c r="N149" t="s">
        <v>398</v>
      </c>
      <c r="O149" t="s">
        <v>142</v>
      </c>
    </row>
    <row r="150" spans="11:15" hidden="1" x14ac:dyDescent="0.35">
      <c r="K150" t="s">
        <v>399</v>
      </c>
      <c r="L150" t="s">
        <v>286</v>
      </c>
      <c r="M150" t="s">
        <v>11</v>
      </c>
      <c r="N150" t="s">
        <v>141</v>
      </c>
      <c r="O150" t="s">
        <v>142</v>
      </c>
    </row>
    <row r="151" spans="11:15" hidden="1" x14ac:dyDescent="0.35">
      <c r="K151" t="s">
        <v>295</v>
      </c>
      <c r="L151" t="s">
        <v>286</v>
      </c>
      <c r="M151" t="s">
        <v>8</v>
      </c>
      <c r="N151" t="s">
        <v>400</v>
      </c>
      <c r="O151" t="s">
        <v>147</v>
      </c>
    </row>
    <row r="152" spans="11:15" hidden="1" x14ac:dyDescent="0.35">
      <c r="K152" t="s">
        <v>296</v>
      </c>
      <c r="L152" t="s">
        <v>286</v>
      </c>
      <c r="M152" t="s">
        <v>8</v>
      </c>
      <c r="N152" t="s">
        <v>401</v>
      </c>
      <c r="O152" t="s">
        <v>147</v>
      </c>
    </row>
    <row r="153" spans="11:15" hidden="1" x14ac:dyDescent="0.35">
      <c r="K153" t="s">
        <v>297</v>
      </c>
      <c r="L153" t="s">
        <v>286</v>
      </c>
      <c r="M153" t="s">
        <v>8</v>
      </c>
      <c r="N153" t="s">
        <v>402</v>
      </c>
      <c r="O153" t="s">
        <v>147</v>
      </c>
    </row>
    <row r="154" spans="11:15" hidden="1" x14ac:dyDescent="0.35">
      <c r="K154" t="s">
        <v>403</v>
      </c>
      <c r="L154" t="s">
        <v>286</v>
      </c>
      <c r="M154" t="s">
        <v>11</v>
      </c>
      <c r="N154" t="s">
        <v>12</v>
      </c>
      <c r="O154" t="s">
        <v>142</v>
      </c>
    </row>
    <row r="155" spans="11:15" hidden="1" x14ac:dyDescent="0.35">
      <c r="K155" t="s">
        <v>404</v>
      </c>
      <c r="L155" t="s">
        <v>286</v>
      </c>
      <c r="M155" t="s">
        <v>8</v>
      </c>
      <c r="N155" t="s">
        <v>405</v>
      </c>
      <c r="O155" t="s">
        <v>142</v>
      </c>
    </row>
    <row r="156" spans="11:15" hidden="1" x14ac:dyDescent="0.35">
      <c r="K156" t="s">
        <v>299</v>
      </c>
      <c r="L156" t="s">
        <v>286</v>
      </c>
      <c r="M156" t="s">
        <v>8</v>
      </c>
      <c r="N156" t="s">
        <v>406</v>
      </c>
      <c r="O156" t="s">
        <v>147</v>
      </c>
    </row>
    <row r="157" spans="11:15" hidden="1" x14ac:dyDescent="0.35">
      <c r="K157" t="s">
        <v>407</v>
      </c>
      <c r="L157" t="s">
        <v>286</v>
      </c>
      <c r="M157" t="s">
        <v>9</v>
      </c>
      <c r="N157" t="s">
        <v>10</v>
      </c>
    </row>
    <row r="158" spans="11:15" hidden="1" x14ac:dyDescent="0.35">
      <c r="K158" t="s">
        <v>408</v>
      </c>
      <c r="L158" t="s">
        <v>286</v>
      </c>
      <c r="M158" t="s">
        <v>8</v>
      </c>
      <c r="N158" t="s">
        <v>409</v>
      </c>
    </row>
    <row r="159" spans="11:15" hidden="1" x14ac:dyDescent="0.35">
      <c r="K159" t="s">
        <v>410</v>
      </c>
      <c r="L159" t="s">
        <v>286</v>
      </c>
      <c r="M159" t="s">
        <v>8</v>
      </c>
      <c r="N159" t="s">
        <v>411</v>
      </c>
    </row>
    <row r="160" spans="11:15" hidden="1" x14ac:dyDescent="0.35">
      <c r="K160" t="s">
        <v>412</v>
      </c>
      <c r="L160" t="s">
        <v>229</v>
      </c>
      <c r="M160" t="s">
        <v>8</v>
      </c>
      <c r="N160" s="36" t="s">
        <v>413</v>
      </c>
      <c r="O160" t="s">
        <v>142</v>
      </c>
    </row>
    <row r="161" spans="11:15" hidden="1" x14ac:dyDescent="0.35">
      <c r="K161" t="s">
        <v>412</v>
      </c>
      <c r="L161" t="s">
        <v>229</v>
      </c>
      <c r="M161" t="s">
        <v>9</v>
      </c>
      <c r="N161" s="36" t="s">
        <v>413</v>
      </c>
      <c r="O161" t="s">
        <v>142</v>
      </c>
    </row>
    <row r="162" spans="11:15" hidden="1" x14ac:dyDescent="0.35">
      <c r="K162" t="s">
        <v>412</v>
      </c>
      <c r="L162" t="s">
        <v>286</v>
      </c>
      <c r="M162" t="s">
        <v>8</v>
      </c>
      <c r="N162" t="s">
        <v>413</v>
      </c>
      <c r="O162" t="s">
        <v>142</v>
      </c>
    </row>
    <row r="163" spans="11:15" hidden="1" x14ac:dyDescent="0.35">
      <c r="K163" t="s">
        <v>414</v>
      </c>
      <c r="L163" t="s">
        <v>229</v>
      </c>
      <c r="M163" t="s">
        <v>8</v>
      </c>
      <c r="N163" s="36" t="s">
        <v>415</v>
      </c>
      <c r="O163" t="s">
        <v>142</v>
      </c>
    </row>
    <row r="164" spans="11:15" hidden="1" x14ac:dyDescent="0.35">
      <c r="K164" t="s">
        <v>414</v>
      </c>
      <c r="L164" t="s">
        <v>229</v>
      </c>
      <c r="M164" t="s">
        <v>304</v>
      </c>
      <c r="N164" s="36" t="s">
        <v>415</v>
      </c>
      <c r="O164" t="s">
        <v>142</v>
      </c>
    </row>
    <row r="165" spans="11:15" hidden="1" x14ac:dyDescent="0.35">
      <c r="K165" t="s">
        <v>28</v>
      </c>
      <c r="L165" t="s">
        <v>140</v>
      </c>
      <c r="M165" t="s">
        <v>11</v>
      </c>
      <c r="N165" t="s">
        <v>29</v>
      </c>
    </row>
    <row r="166" spans="11:15" hidden="1" x14ac:dyDescent="0.35">
      <c r="K166" t="s">
        <v>28</v>
      </c>
      <c r="L166" t="s">
        <v>167</v>
      </c>
      <c r="M166" t="s">
        <v>11</v>
      </c>
      <c r="N166" t="s">
        <v>29</v>
      </c>
    </row>
    <row r="167" spans="11:15" hidden="1" x14ac:dyDescent="0.35">
      <c r="K167" t="s">
        <v>28</v>
      </c>
      <c r="L167" t="s">
        <v>229</v>
      </c>
      <c r="M167" t="s">
        <v>11</v>
      </c>
      <c r="N167" t="s">
        <v>29</v>
      </c>
      <c r="O167" t="s">
        <v>142</v>
      </c>
    </row>
    <row r="168" spans="11:15" hidden="1" x14ac:dyDescent="0.35">
      <c r="K168" t="s">
        <v>28</v>
      </c>
      <c r="L168" t="s">
        <v>153</v>
      </c>
      <c r="M168" t="s">
        <v>11</v>
      </c>
      <c r="N168" t="s">
        <v>29</v>
      </c>
    </row>
    <row r="169" spans="11:15" hidden="1" x14ac:dyDescent="0.35">
      <c r="K169" t="s">
        <v>28</v>
      </c>
      <c r="L169" t="s">
        <v>173</v>
      </c>
      <c r="M169" t="s">
        <v>11</v>
      </c>
      <c r="N169" t="s">
        <v>29</v>
      </c>
    </row>
    <row r="170" spans="11:15" hidden="1" x14ac:dyDescent="0.35">
      <c r="K170" t="s">
        <v>28</v>
      </c>
      <c r="L170" t="s">
        <v>280</v>
      </c>
      <c r="M170" t="s">
        <v>11</v>
      </c>
      <c r="N170" t="s">
        <v>29</v>
      </c>
    </row>
    <row r="171" spans="11:15" hidden="1" x14ac:dyDescent="0.35">
      <c r="K171" t="s">
        <v>28</v>
      </c>
      <c r="L171" t="s">
        <v>282</v>
      </c>
      <c r="M171" t="s">
        <v>11</v>
      </c>
      <c r="N171" t="s">
        <v>29</v>
      </c>
    </row>
    <row r="172" spans="11:15" hidden="1" x14ac:dyDescent="0.35">
      <c r="K172" t="s">
        <v>28</v>
      </c>
      <c r="L172" t="s">
        <v>282</v>
      </c>
      <c r="M172" t="s">
        <v>11</v>
      </c>
      <c r="N172" t="s">
        <v>29</v>
      </c>
    </row>
    <row r="173" spans="11:15" hidden="1" x14ac:dyDescent="0.35">
      <c r="K173" t="s">
        <v>28</v>
      </c>
      <c r="L173" t="s">
        <v>286</v>
      </c>
      <c r="M173" t="s">
        <v>11</v>
      </c>
      <c r="N173" t="s">
        <v>29</v>
      </c>
    </row>
    <row r="174" spans="11:15" hidden="1" x14ac:dyDescent="0.35">
      <c r="K174" t="s">
        <v>30</v>
      </c>
      <c r="L174" t="s">
        <v>140</v>
      </c>
      <c r="M174" t="s">
        <v>11</v>
      </c>
      <c r="N174" t="s">
        <v>31</v>
      </c>
    </row>
    <row r="175" spans="11:15" hidden="1" x14ac:dyDescent="0.35">
      <c r="K175" t="s">
        <v>30</v>
      </c>
      <c r="L175" t="s">
        <v>186</v>
      </c>
      <c r="M175" t="s">
        <v>11</v>
      </c>
      <c r="N175" t="s">
        <v>31</v>
      </c>
    </row>
    <row r="176" spans="11:15" hidden="1" x14ac:dyDescent="0.35">
      <c r="K176" t="s">
        <v>30</v>
      </c>
      <c r="L176" t="s">
        <v>186</v>
      </c>
      <c r="M176" t="s">
        <v>11</v>
      </c>
      <c r="N176" t="s">
        <v>31</v>
      </c>
    </row>
    <row r="177" spans="11:15" hidden="1" x14ac:dyDescent="0.35">
      <c r="K177" t="s">
        <v>30</v>
      </c>
      <c r="L177" t="s">
        <v>200</v>
      </c>
      <c r="M177" t="s">
        <v>11</v>
      </c>
      <c r="N177" t="s">
        <v>31</v>
      </c>
    </row>
    <row r="178" spans="11:15" hidden="1" x14ac:dyDescent="0.35">
      <c r="K178" t="s">
        <v>30</v>
      </c>
      <c r="L178" t="s">
        <v>200</v>
      </c>
      <c r="M178" t="s">
        <v>11</v>
      </c>
      <c r="N178" t="s">
        <v>31</v>
      </c>
    </row>
    <row r="179" spans="11:15" hidden="1" x14ac:dyDescent="0.35">
      <c r="K179" t="s">
        <v>416</v>
      </c>
      <c r="L179" t="s">
        <v>134</v>
      </c>
      <c r="M179" t="s">
        <v>9</v>
      </c>
      <c r="N179" t="s">
        <v>417</v>
      </c>
      <c r="O179" t="s">
        <v>142</v>
      </c>
    </row>
    <row r="180" spans="11:15" hidden="1" x14ac:dyDescent="0.35">
      <c r="K180" t="s">
        <v>30</v>
      </c>
      <c r="L180" t="s">
        <v>167</v>
      </c>
      <c r="M180" t="s">
        <v>11</v>
      </c>
      <c r="N180" t="s">
        <v>31</v>
      </c>
    </row>
    <row r="181" spans="11:15" hidden="1" x14ac:dyDescent="0.35">
      <c r="K181" t="s">
        <v>30</v>
      </c>
      <c r="L181" t="s">
        <v>229</v>
      </c>
      <c r="M181" t="s">
        <v>11</v>
      </c>
      <c r="N181" t="s">
        <v>31</v>
      </c>
      <c r="O181" t="s">
        <v>142</v>
      </c>
    </row>
    <row r="182" spans="11:15" hidden="1" x14ac:dyDescent="0.35">
      <c r="K182" t="s">
        <v>30</v>
      </c>
      <c r="L182" t="s">
        <v>153</v>
      </c>
      <c r="M182" t="s">
        <v>11</v>
      </c>
      <c r="N182" t="s">
        <v>31</v>
      </c>
    </row>
    <row r="183" spans="11:15" hidden="1" x14ac:dyDescent="0.35">
      <c r="K183" t="s">
        <v>30</v>
      </c>
      <c r="L183" t="s">
        <v>173</v>
      </c>
      <c r="M183" t="s">
        <v>11</v>
      </c>
      <c r="N183" t="s">
        <v>31</v>
      </c>
    </row>
    <row r="184" spans="11:15" hidden="1" x14ac:dyDescent="0.35">
      <c r="K184" t="s">
        <v>30</v>
      </c>
      <c r="L184" t="s">
        <v>270</v>
      </c>
      <c r="M184" t="s">
        <v>11</v>
      </c>
      <c r="N184" t="s">
        <v>31</v>
      </c>
    </row>
    <row r="185" spans="11:15" hidden="1" x14ac:dyDescent="0.35">
      <c r="K185" t="s">
        <v>30</v>
      </c>
      <c r="L185" t="s">
        <v>280</v>
      </c>
      <c r="M185" t="s">
        <v>11</v>
      </c>
      <c r="N185" t="s">
        <v>31</v>
      </c>
    </row>
    <row r="186" spans="11:15" hidden="1" x14ac:dyDescent="0.35">
      <c r="K186" t="s">
        <v>30</v>
      </c>
      <c r="L186" t="s">
        <v>282</v>
      </c>
      <c r="M186" t="s">
        <v>11</v>
      </c>
      <c r="N186" t="s">
        <v>31</v>
      </c>
    </row>
    <row r="187" spans="11:15" hidden="1" x14ac:dyDescent="0.35">
      <c r="K187" t="s">
        <v>30</v>
      </c>
      <c r="L187" t="s">
        <v>282</v>
      </c>
      <c r="M187" t="s">
        <v>11</v>
      </c>
      <c r="N187" t="s">
        <v>31</v>
      </c>
    </row>
    <row r="188" spans="11:15" hidden="1" x14ac:dyDescent="0.35">
      <c r="K188" t="s">
        <v>30</v>
      </c>
      <c r="L188" t="s">
        <v>286</v>
      </c>
      <c r="M188" t="s">
        <v>11</v>
      </c>
      <c r="N188" t="s">
        <v>31</v>
      </c>
    </row>
    <row r="189" spans="11:15" hidden="1" x14ac:dyDescent="0.35">
      <c r="K189" t="s">
        <v>32</v>
      </c>
      <c r="L189" t="s">
        <v>140</v>
      </c>
      <c r="M189" t="s">
        <v>11</v>
      </c>
      <c r="N189" t="s">
        <v>33</v>
      </c>
    </row>
    <row r="190" spans="11:15" hidden="1" x14ac:dyDescent="0.35">
      <c r="K190" t="s">
        <v>32</v>
      </c>
      <c r="L190" t="s">
        <v>200</v>
      </c>
      <c r="M190" t="s">
        <v>8</v>
      </c>
      <c r="N190" t="s">
        <v>33</v>
      </c>
    </row>
    <row r="191" spans="11:15" hidden="1" x14ac:dyDescent="0.35">
      <c r="K191" t="s">
        <v>32</v>
      </c>
      <c r="L191" t="s">
        <v>200</v>
      </c>
      <c r="M191" t="s">
        <v>8</v>
      </c>
      <c r="N191" t="s">
        <v>33</v>
      </c>
    </row>
    <row r="192" spans="11:15" hidden="1" x14ac:dyDescent="0.35">
      <c r="K192" t="s">
        <v>34</v>
      </c>
      <c r="L192" t="s">
        <v>186</v>
      </c>
      <c r="M192" t="s">
        <v>8</v>
      </c>
      <c r="N192" t="s">
        <v>35</v>
      </c>
    </row>
    <row r="193" spans="11:14" hidden="1" x14ac:dyDescent="0.35">
      <c r="K193" t="s">
        <v>34</v>
      </c>
      <c r="L193" t="s">
        <v>186</v>
      </c>
      <c r="M193" t="s">
        <v>8</v>
      </c>
      <c r="N193" t="s">
        <v>35</v>
      </c>
    </row>
    <row r="194" spans="11:14" hidden="1" x14ac:dyDescent="0.35">
      <c r="K194" t="s">
        <v>17</v>
      </c>
      <c r="L194" t="s">
        <v>134</v>
      </c>
      <c r="M194" t="s">
        <v>9</v>
      </c>
      <c r="N194" t="s">
        <v>26</v>
      </c>
    </row>
    <row r="195" spans="11:14" hidden="1" x14ac:dyDescent="0.35">
      <c r="K195" t="s">
        <v>34</v>
      </c>
      <c r="L195" t="s">
        <v>229</v>
      </c>
      <c r="M195" t="s">
        <v>8</v>
      </c>
      <c r="N195" t="s">
        <v>35</v>
      </c>
    </row>
    <row r="196" spans="11:14" hidden="1" x14ac:dyDescent="0.35">
      <c r="K196" t="s">
        <v>34</v>
      </c>
      <c r="L196" t="s">
        <v>229</v>
      </c>
      <c r="M196" t="s">
        <v>9</v>
      </c>
      <c r="N196" t="s">
        <v>35</v>
      </c>
    </row>
    <row r="197" spans="11:14" hidden="1" x14ac:dyDescent="0.35">
      <c r="K197" t="s">
        <v>34</v>
      </c>
      <c r="L197" t="s">
        <v>173</v>
      </c>
      <c r="M197" t="s">
        <v>8</v>
      </c>
      <c r="N197" t="s">
        <v>35</v>
      </c>
    </row>
    <row r="198" spans="11:14" hidden="1" x14ac:dyDescent="0.35">
      <c r="K198" t="s">
        <v>34</v>
      </c>
      <c r="L198" t="s">
        <v>270</v>
      </c>
      <c r="M198" t="s">
        <v>8</v>
      </c>
      <c r="N198" t="s">
        <v>35</v>
      </c>
    </row>
    <row r="199" spans="11:14" hidden="1" x14ac:dyDescent="0.35">
      <c r="K199" t="s">
        <v>34</v>
      </c>
      <c r="L199" t="s">
        <v>286</v>
      </c>
      <c r="M199" t="s">
        <v>8</v>
      </c>
      <c r="N199" t="s">
        <v>35</v>
      </c>
    </row>
  </sheetData>
  <autoFilter ref="J1:O199" xr:uid="{22D55DAA-93CC-43B3-873B-8B9F563CE958}">
    <filterColumn colId="1">
      <filters>
        <filter val="ENG1001"/>
      </filters>
    </filterColumn>
  </autoFilter>
  <conditionalFormatting sqref="D1:D1048576 E15">
    <cfRule type="duplicateValues" dxfId="3" priority="3"/>
  </conditionalFormatting>
  <conditionalFormatting sqref="E1:E1048576">
    <cfRule type="cellIs" dxfId="2" priority="1" operator="equal">
      <formula>"Completed"</formula>
    </cfRule>
  </conditionalFormatting>
  <conditionalFormatting sqref="K1:K1048576 D1:D1048576 E15">
    <cfRule type="duplicateValues" dxfId="1" priority="2"/>
  </conditionalFormatting>
  <conditionalFormatting sqref="U1:U10">
    <cfRule type="duplicateValues" dxfId="0" priority="4"/>
  </conditionalFormatting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3298-949C-4C27-AC0E-1CC18788407D}">
  <dimension ref="A1:H11"/>
  <sheetViews>
    <sheetView workbookViewId="0">
      <selection activeCell="E2" sqref="E2:E11"/>
    </sheetView>
  </sheetViews>
  <sheetFormatPr defaultColWidth="8.81640625" defaultRowHeight="14.5" x14ac:dyDescent="0.35"/>
  <cols>
    <col min="1" max="1" width="9.81640625" style="21" bestFit="1" customWidth="1"/>
    <col min="2" max="2" width="8.81640625" style="21"/>
    <col min="3" max="3" width="13.453125" style="21" bestFit="1" customWidth="1"/>
    <col min="4" max="4" width="36.54296875" style="21" bestFit="1" customWidth="1"/>
    <col min="5" max="5" width="21.54296875" style="21" bestFit="1" customWidth="1"/>
    <col min="6" max="6" width="10.81640625" style="21" bestFit="1" customWidth="1"/>
    <col min="7" max="7" width="18" style="21" bestFit="1" customWidth="1"/>
    <col min="8" max="16384" width="8.81640625" style="21"/>
  </cols>
  <sheetData>
    <row r="1" spans="1:8" x14ac:dyDescent="0.35">
      <c r="A1" s="37" t="s">
        <v>418</v>
      </c>
      <c r="B1" s="37" t="s">
        <v>57</v>
      </c>
      <c r="C1" s="37" t="s">
        <v>419</v>
      </c>
      <c r="D1" s="38" t="s">
        <v>420</v>
      </c>
      <c r="E1" s="37" t="s">
        <v>4</v>
      </c>
      <c r="F1" s="37" t="s">
        <v>421</v>
      </c>
      <c r="G1" s="37" t="s">
        <v>422</v>
      </c>
      <c r="H1" s="37" t="s">
        <v>423</v>
      </c>
    </row>
    <row r="2" spans="1:8" ht="29" x14ac:dyDescent="0.35">
      <c r="A2" s="39" t="s">
        <v>424</v>
      </c>
      <c r="B2" s="39" t="s">
        <v>425</v>
      </c>
      <c r="C2" s="39" t="s">
        <v>426</v>
      </c>
      <c r="D2" s="40" t="s">
        <v>427</v>
      </c>
      <c r="E2" s="39" t="s">
        <v>428</v>
      </c>
      <c r="F2" s="39" t="s">
        <v>429</v>
      </c>
      <c r="G2" s="39" t="s">
        <v>430</v>
      </c>
      <c r="H2" s="39"/>
    </row>
    <row r="3" spans="1:8" ht="29" x14ac:dyDescent="0.35">
      <c r="A3" s="39" t="s">
        <v>424</v>
      </c>
      <c r="B3" s="39" t="s">
        <v>425</v>
      </c>
      <c r="C3" s="39" t="s">
        <v>431</v>
      </c>
      <c r="D3" s="40" t="s">
        <v>432</v>
      </c>
      <c r="E3" s="39" t="s">
        <v>433</v>
      </c>
      <c r="F3" s="39" t="s">
        <v>429</v>
      </c>
      <c r="G3" s="39" t="s">
        <v>430</v>
      </c>
      <c r="H3" s="39"/>
    </row>
    <row r="4" spans="1:8" x14ac:dyDescent="0.35">
      <c r="A4" s="39" t="s">
        <v>424</v>
      </c>
      <c r="B4" s="39" t="s">
        <v>425</v>
      </c>
      <c r="C4" s="39" t="s">
        <v>434</v>
      </c>
      <c r="D4" s="40" t="s">
        <v>435</v>
      </c>
      <c r="E4" s="39" t="s">
        <v>436</v>
      </c>
      <c r="F4" s="39" t="s">
        <v>429</v>
      </c>
      <c r="G4" s="39" t="s">
        <v>60</v>
      </c>
      <c r="H4" s="39"/>
    </row>
    <row r="5" spans="1:8" x14ac:dyDescent="0.35">
      <c r="A5" s="39" t="s">
        <v>424</v>
      </c>
      <c r="B5" s="39" t="s">
        <v>425</v>
      </c>
      <c r="C5" s="39" t="s">
        <v>437</v>
      </c>
      <c r="D5" s="40" t="s">
        <v>438</v>
      </c>
      <c r="E5" s="39" t="s">
        <v>439</v>
      </c>
      <c r="F5" s="39" t="s">
        <v>429</v>
      </c>
      <c r="G5" s="39" t="s">
        <v>440</v>
      </c>
      <c r="H5" s="39"/>
    </row>
    <row r="6" spans="1:8" x14ac:dyDescent="0.35">
      <c r="A6" s="39" t="s">
        <v>424</v>
      </c>
      <c r="B6" s="39" t="s">
        <v>425</v>
      </c>
      <c r="C6" s="39" t="s">
        <v>441</v>
      </c>
      <c r="D6" s="40" t="s">
        <v>442</v>
      </c>
      <c r="E6" s="39" t="s">
        <v>443</v>
      </c>
      <c r="F6" s="39" t="s">
        <v>429</v>
      </c>
      <c r="G6" s="39" t="s">
        <v>61</v>
      </c>
      <c r="H6" s="39"/>
    </row>
    <row r="7" spans="1:8" s="32" customFormat="1" x14ac:dyDescent="0.35">
      <c r="A7" s="41" t="s">
        <v>424</v>
      </c>
      <c r="B7" s="41" t="s">
        <v>425</v>
      </c>
      <c r="C7" s="41" t="s">
        <v>444</v>
      </c>
      <c r="D7" s="42" t="s">
        <v>445</v>
      </c>
      <c r="E7" s="41" t="s">
        <v>446</v>
      </c>
      <c r="F7" s="41" t="s">
        <v>429</v>
      </c>
      <c r="G7" s="41" t="s">
        <v>447</v>
      </c>
      <c r="H7" s="41"/>
    </row>
    <row r="8" spans="1:8" x14ac:dyDescent="0.35">
      <c r="A8" s="39" t="s">
        <v>424</v>
      </c>
      <c r="B8" s="39" t="s">
        <v>425</v>
      </c>
      <c r="C8" s="39" t="s">
        <v>448</v>
      </c>
      <c r="D8" s="40" t="s">
        <v>449</v>
      </c>
      <c r="E8" s="39" t="s">
        <v>450</v>
      </c>
      <c r="F8" s="39" t="s">
        <v>429</v>
      </c>
      <c r="G8" s="39" t="s">
        <v>451</v>
      </c>
      <c r="H8" s="39"/>
    </row>
    <row r="9" spans="1:8" x14ac:dyDescent="0.35">
      <c r="A9" s="39" t="s">
        <v>424</v>
      </c>
      <c r="B9" s="39" t="s">
        <v>425</v>
      </c>
      <c r="C9" s="39" t="s">
        <v>452</v>
      </c>
      <c r="D9" s="40" t="s">
        <v>453</v>
      </c>
      <c r="E9" s="39" t="s">
        <v>454</v>
      </c>
      <c r="F9" s="39" t="s">
        <v>429</v>
      </c>
      <c r="G9" s="39" t="s">
        <v>451</v>
      </c>
      <c r="H9" s="39"/>
    </row>
    <row r="10" spans="1:8" x14ac:dyDescent="0.35">
      <c r="A10" s="39" t="s">
        <v>455</v>
      </c>
      <c r="B10" s="39" t="s">
        <v>425</v>
      </c>
      <c r="C10" s="39"/>
      <c r="D10" s="40" t="s">
        <v>140</v>
      </c>
      <c r="E10" t="s">
        <v>59</v>
      </c>
      <c r="F10" s="39" t="s">
        <v>429</v>
      </c>
      <c r="G10" s="39"/>
      <c r="H10" s="39"/>
    </row>
    <row r="11" spans="1:8" ht="15" customHeight="1" x14ac:dyDescent="0.35">
      <c r="A11" s="39" t="s">
        <v>455</v>
      </c>
      <c r="B11" s="39" t="s">
        <v>425</v>
      </c>
      <c r="C11" s="39"/>
      <c r="D11" s="40" t="s">
        <v>200</v>
      </c>
      <c r="E11" t="s">
        <v>59</v>
      </c>
      <c r="F11" s="39" t="s">
        <v>58</v>
      </c>
      <c r="G11" s="39"/>
      <c r="H11" s="3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4"/>
  <sheetViews>
    <sheetView zoomScale="68" workbookViewId="0">
      <selection activeCell="H41" sqref="H41"/>
    </sheetView>
  </sheetViews>
  <sheetFormatPr defaultRowHeight="14.5" x14ac:dyDescent="0.35"/>
  <cols>
    <col min="1" max="2" width="10.81640625" style="14" customWidth="1"/>
    <col min="3" max="3" width="12.54296875" style="2" bestFit="1" customWidth="1"/>
    <col min="4" max="7" width="12.54296875" style="2" customWidth="1"/>
    <col min="8" max="8" width="20.81640625" style="2" customWidth="1"/>
    <col min="9" max="10" width="25.81640625" style="2" customWidth="1"/>
    <col min="11" max="11" width="20.81640625" style="2" customWidth="1"/>
    <col min="12" max="12" width="12.81640625" style="2" customWidth="1"/>
    <col min="13" max="13" width="20.81640625" style="2" customWidth="1"/>
    <col min="14" max="14" width="12.81640625" style="2" customWidth="1"/>
    <col min="15" max="15" width="20.81640625" style="2" customWidth="1"/>
    <col min="16" max="16" width="12.81640625" style="2" customWidth="1"/>
    <col min="17" max="18" width="20.81640625" customWidth="1"/>
  </cols>
  <sheetData>
    <row r="1" spans="1:18" ht="60" customHeight="1" x14ac:dyDescent="0.35">
      <c r="H1" s="11" t="s">
        <v>37</v>
      </c>
      <c r="Q1" s="12" t="s">
        <v>38</v>
      </c>
      <c r="R1" s="13" t="s">
        <v>39</v>
      </c>
    </row>
    <row r="2" spans="1:18" x14ac:dyDescent="0.35">
      <c r="A2" s="10" t="s">
        <v>40</v>
      </c>
      <c r="B2" s="10" t="s">
        <v>56</v>
      </c>
      <c r="C2" s="10" t="s">
        <v>41</v>
      </c>
      <c r="D2" s="10" t="s">
        <v>42</v>
      </c>
      <c r="E2" s="10" t="s">
        <v>43</v>
      </c>
      <c r="F2" s="10" t="s">
        <v>44</v>
      </c>
      <c r="G2" s="10" t="s">
        <v>45</v>
      </c>
      <c r="H2" s="10" t="s">
        <v>46</v>
      </c>
      <c r="I2" s="10" t="s">
        <v>47</v>
      </c>
      <c r="J2" s="10" t="s">
        <v>48</v>
      </c>
      <c r="K2" s="10" t="s">
        <v>49</v>
      </c>
      <c r="L2" s="10" t="s">
        <v>50</v>
      </c>
      <c r="M2" s="10" t="s">
        <v>51</v>
      </c>
      <c r="N2" s="10" t="s">
        <v>52</v>
      </c>
      <c r="O2" s="10" t="s">
        <v>53</v>
      </c>
      <c r="P2" s="10" t="s">
        <v>54</v>
      </c>
      <c r="Q2" s="5" t="s">
        <v>55</v>
      </c>
    </row>
    <row r="3" spans="1:18" x14ac:dyDescent="0.35">
      <c r="A3" s="4" t="s">
        <v>7</v>
      </c>
      <c r="B3" s="4" t="s">
        <v>62</v>
      </c>
      <c r="C3" s="1" t="s">
        <v>63</v>
      </c>
      <c r="D3" s="1"/>
      <c r="E3" s="1"/>
      <c r="F3" s="1"/>
      <c r="G3" s="1"/>
      <c r="H3" s="1"/>
      <c r="I3" s="1" t="s">
        <v>64</v>
      </c>
      <c r="J3" s="1" t="s">
        <v>65</v>
      </c>
      <c r="K3" s="1" t="s">
        <v>66</v>
      </c>
      <c r="L3" s="1" t="s">
        <v>67</v>
      </c>
      <c r="M3" s="1" t="s">
        <v>68</v>
      </c>
      <c r="N3" s="1"/>
      <c r="O3" s="1"/>
      <c r="P3" s="1"/>
      <c r="Q3" s="6" t="b">
        <v>0</v>
      </c>
    </row>
    <row r="4" spans="1:18" x14ac:dyDescent="0.35">
      <c r="A4" s="4"/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6" t="b">
        <v>0</v>
      </c>
    </row>
    <row r="5" spans="1:18" x14ac:dyDescent="0.35">
      <c r="A5" s="4"/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6" t="b">
        <v>0</v>
      </c>
    </row>
    <row r="6" spans="1:18" x14ac:dyDescent="0.35">
      <c r="A6" s="4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6" t="b">
        <v>0</v>
      </c>
    </row>
    <row r="7" spans="1:18" x14ac:dyDescent="0.35">
      <c r="A7" s="4"/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6" t="b">
        <v>0</v>
      </c>
    </row>
    <row r="8" spans="1:18" x14ac:dyDescent="0.35">
      <c r="A8" s="4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6" t="b">
        <v>0</v>
      </c>
    </row>
    <row r="9" spans="1:18" x14ac:dyDescent="0.35">
      <c r="A9" s="4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6" t="b">
        <v>0</v>
      </c>
    </row>
    <row r="10" spans="1:18" x14ac:dyDescent="0.35">
      <c r="A10" s="4"/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6" t="b">
        <v>0</v>
      </c>
    </row>
    <row r="11" spans="1:18" x14ac:dyDescent="0.35">
      <c r="A11" s="4"/>
      <c r="B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6" t="b">
        <v>0</v>
      </c>
    </row>
    <row r="12" spans="1:18" x14ac:dyDescent="0.35">
      <c r="A12" s="4"/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6" t="b">
        <v>0</v>
      </c>
    </row>
    <row r="13" spans="1:18" x14ac:dyDescent="0.35">
      <c r="D13" s="1"/>
      <c r="E13" s="1"/>
      <c r="F13" s="1"/>
      <c r="G13" s="1"/>
      <c r="H13" s="1"/>
      <c r="K13" s="1"/>
      <c r="L13" s="1"/>
      <c r="M13" s="1"/>
      <c r="N13" s="1"/>
      <c r="O13" s="1"/>
      <c r="P13" s="1"/>
      <c r="Q13" s="6" t="b">
        <v>0</v>
      </c>
    </row>
    <row r="14" spans="1:18" x14ac:dyDescent="0.35">
      <c r="D14" s="1"/>
      <c r="E14" s="1"/>
      <c r="F14" s="1"/>
      <c r="G14" s="1"/>
      <c r="H14" s="1"/>
      <c r="K14" s="1"/>
      <c r="L14" s="1"/>
      <c r="M14" s="1"/>
      <c r="N14" s="1"/>
      <c r="O14" s="1"/>
      <c r="P14" s="1"/>
      <c r="Q14" s="6" t="b">
        <v>0</v>
      </c>
    </row>
    <row r="15" spans="1:18" x14ac:dyDescent="0.35">
      <c r="D15" s="1"/>
      <c r="E15" s="1"/>
      <c r="F15" s="1"/>
      <c r="G15" s="1"/>
      <c r="H15" s="1"/>
      <c r="K15" s="1"/>
      <c r="L15" s="1"/>
      <c r="M15" s="1"/>
      <c r="N15" s="1"/>
      <c r="O15" s="1"/>
      <c r="P15" s="1"/>
      <c r="Q15" s="6" t="b">
        <v>0</v>
      </c>
    </row>
    <row r="16" spans="1:18" x14ac:dyDescent="0.35">
      <c r="D16" s="1"/>
      <c r="E16" s="1"/>
      <c r="F16" s="1"/>
      <c r="G16" s="1"/>
      <c r="H16" s="1"/>
      <c r="K16" s="1"/>
      <c r="L16" s="1"/>
      <c r="M16" s="1"/>
      <c r="N16" s="1"/>
      <c r="O16" s="1"/>
      <c r="P16" s="1"/>
      <c r="Q16" s="6" t="b">
        <v>0</v>
      </c>
    </row>
    <row r="17" spans="4:17" x14ac:dyDescent="0.35">
      <c r="D17" s="1"/>
      <c r="E17" s="1"/>
      <c r="F17" s="1"/>
      <c r="G17" s="1"/>
      <c r="H17" s="1"/>
      <c r="K17" s="1"/>
      <c r="L17" s="1"/>
      <c r="M17" s="1"/>
      <c r="N17" s="1"/>
      <c r="O17" s="1"/>
      <c r="P17" s="1"/>
      <c r="Q17" s="6" t="b">
        <v>0</v>
      </c>
    </row>
    <row r="18" spans="4:17" x14ac:dyDescent="0.35">
      <c r="D18" s="1"/>
      <c r="E18" s="1"/>
      <c r="F18" s="1"/>
      <c r="G18" s="1"/>
      <c r="H18" s="1"/>
      <c r="K18" s="1"/>
      <c r="L18" s="1"/>
      <c r="M18" s="1"/>
      <c r="N18" s="1"/>
      <c r="O18" s="1"/>
      <c r="P18" s="1"/>
      <c r="Q18" s="6" t="b">
        <v>0</v>
      </c>
    </row>
    <row r="19" spans="4:17" x14ac:dyDescent="0.35">
      <c r="D19" s="1"/>
      <c r="E19" s="1"/>
      <c r="F19" s="1"/>
      <c r="G19" s="1"/>
      <c r="H19" s="1"/>
      <c r="K19" s="1"/>
      <c r="L19" s="1"/>
      <c r="M19" s="1"/>
      <c r="N19" s="1"/>
      <c r="O19" s="1"/>
      <c r="P19" s="1"/>
      <c r="Q19" s="6" t="b">
        <v>0</v>
      </c>
    </row>
    <row r="20" spans="4:17" x14ac:dyDescent="0.35">
      <c r="D20" s="1"/>
      <c r="E20" s="1"/>
      <c r="F20" s="1"/>
      <c r="G20" s="1"/>
      <c r="H20" s="1"/>
      <c r="K20" s="1"/>
      <c r="L20" s="1"/>
      <c r="M20" s="1"/>
      <c r="N20" s="1"/>
      <c r="O20" s="1"/>
      <c r="P20" s="1"/>
      <c r="Q20" s="6" t="b">
        <v>0</v>
      </c>
    </row>
    <row r="21" spans="4:17" x14ac:dyDescent="0.35">
      <c r="D21" s="1"/>
      <c r="E21" s="1"/>
      <c r="F21" s="1"/>
      <c r="G21" s="1"/>
      <c r="H21" s="1"/>
      <c r="K21" s="1"/>
      <c r="L21" s="1"/>
      <c r="M21" s="1"/>
      <c r="N21" s="1"/>
      <c r="O21" s="1"/>
      <c r="P21" s="1"/>
      <c r="Q21" s="6" t="b">
        <v>0</v>
      </c>
    </row>
    <row r="22" spans="4:17" x14ac:dyDescent="0.35">
      <c r="D22" s="1"/>
      <c r="E22" s="1"/>
      <c r="F22" s="1"/>
      <c r="G22" s="1"/>
      <c r="H22" s="1"/>
      <c r="K22" s="1"/>
      <c r="L22" s="1"/>
      <c r="M22" s="1"/>
      <c r="N22" s="1"/>
      <c r="O22" s="1"/>
      <c r="P22" s="1"/>
      <c r="Q22" s="6" t="b">
        <v>0</v>
      </c>
    </row>
    <row r="23" spans="4:17" x14ac:dyDescent="0.35">
      <c r="D23" s="1"/>
      <c r="E23" s="1"/>
      <c r="F23" s="1"/>
      <c r="G23" s="1"/>
      <c r="H23" s="1"/>
      <c r="K23" s="1"/>
      <c r="L23" s="1"/>
      <c r="M23" s="1"/>
      <c r="N23" s="1"/>
      <c r="O23" s="1"/>
      <c r="P23" s="1"/>
      <c r="Q23" s="6" t="b">
        <v>0</v>
      </c>
    </row>
    <row r="24" spans="4:17" x14ac:dyDescent="0.35">
      <c r="D24" s="1"/>
      <c r="E24" s="1"/>
      <c r="F24" s="1"/>
      <c r="G24" s="1"/>
      <c r="H24" s="1"/>
      <c r="K24" s="1"/>
      <c r="L24" s="1"/>
      <c r="M24" s="1"/>
      <c r="N24" s="1"/>
      <c r="O24" s="1"/>
      <c r="P24" s="1"/>
      <c r="Q24" s="6" t="b">
        <v>0</v>
      </c>
    </row>
    <row r="25" spans="4:17" x14ac:dyDescent="0.35">
      <c r="D25" s="1"/>
      <c r="E25" s="1"/>
      <c r="F25" s="1"/>
      <c r="G25" s="1"/>
      <c r="H25" s="1"/>
      <c r="K25" s="1"/>
      <c r="O25" s="1"/>
      <c r="Q25" s="6" t="b">
        <v>0</v>
      </c>
    </row>
    <row r="26" spans="4:17" x14ac:dyDescent="0.35">
      <c r="D26" s="1"/>
      <c r="E26" s="1"/>
      <c r="F26" s="1"/>
      <c r="G26" s="1"/>
      <c r="H26" s="1"/>
      <c r="K26" s="1"/>
      <c r="O26" s="1"/>
      <c r="Q26" s="6" t="b">
        <v>0</v>
      </c>
    </row>
    <row r="27" spans="4:17" x14ac:dyDescent="0.35">
      <c r="D27" s="1"/>
      <c r="E27" s="1"/>
      <c r="F27" s="1"/>
      <c r="G27" s="1"/>
      <c r="H27" s="1"/>
      <c r="K27" s="1"/>
      <c r="O27" s="1"/>
      <c r="Q27" s="6" t="b">
        <v>0</v>
      </c>
    </row>
    <row r="28" spans="4:17" x14ac:dyDescent="0.35">
      <c r="F28" s="1"/>
      <c r="G28" s="1"/>
      <c r="H28" s="1"/>
      <c r="K28" s="1"/>
      <c r="O28" s="1"/>
      <c r="Q28" s="6" t="b">
        <v>0</v>
      </c>
    </row>
    <row r="29" spans="4:17" x14ac:dyDescent="0.35">
      <c r="F29" s="1"/>
      <c r="G29" s="1"/>
      <c r="H29" s="1"/>
      <c r="K29" s="1"/>
      <c r="O29" s="1"/>
      <c r="Q29" s="6" t="b">
        <v>0</v>
      </c>
    </row>
    <row r="30" spans="4:17" x14ac:dyDescent="0.35">
      <c r="F30" s="1"/>
      <c r="G30" s="1"/>
      <c r="H30" s="1"/>
      <c r="K30" s="1"/>
      <c r="O30" s="1"/>
      <c r="Q30" s="6" t="b">
        <v>0</v>
      </c>
    </row>
    <row r="31" spans="4:17" x14ac:dyDescent="0.35">
      <c r="F31" s="1"/>
      <c r="G31" s="1"/>
      <c r="H31" s="1"/>
      <c r="K31" s="1"/>
      <c r="O31" s="1"/>
      <c r="Q31" s="6" t="b">
        <v>0</v>
      </c>
    </row>
    <row r="32" spans="4:17" x14ac:dyDescent="0.35">
      <c r="G32" s="1"/>
      <c r="H32" s="1"/>
      <c r="K32" s="1"/>
      <c r="O32" s="1"/>
      <c r="Q32" s="6" t="b">
        <v>0</v>
      </c>
    </row>
    <row r="33" spans="7:17" x14ac:dyDescent="0.35">
      <c r="G33" s="1"/>
      <c r="H33" s="1"/>
      <c r="K33" s="1"/>
      <c r="O33" s="1"/>
      <c r="Q33" s="6" t="b">
        <v>0</v>
      </c>
    </row>
    <row r="34" spans="7:17" x14ac:dyDescent="0.35">
      <c r="G34" s="1"/>
      <c r="H34" s="1"/>
      <c r="K34" s="1"/>
      <c r="O34" s="1"/>
      <c r="Q34" s="6" t="b">
        <v>0</v>
      </c>
    </row>
    <row r="35" spans="7:17" x14ac:dyDescent="0.35">
      <c r="G35" s="1"/>
      <c r="H35" s="1"/>
      <c r="K35" s="1"/>
      <c r="O35" s="1"/>
      <c r="Q35" s="6" t="b">
        <v>0</v>
      </c>
    </row>
    <row r="36" spans="7:17" x14ac:dyDescent="0.35">
      <c r="G36" s="1"/>
      <c r="H36" s="1"/>
      <c r="K36" s="1"/>
      <c r="O36" s="1"/>
      <c r="Q36" s="6" t="b">
        <v>0</v>
      </c>
    </row>
    <row r="37" spans="7:17" x14ac:dyDescent="0.35">
      <c r="G37" s="1"/>
      <c r="H37" s="1"/>
      <c r="K37" s="1"/>
      <c r="O37" s="1"/>
      <c r="Q37" s="6" t="b">
        <v>0</v>
      </c>
    </row>
    <row r="38" spans="7:17" x14ac:dyDescent="0.35">
      <c r="G38" s="1"/>
      <c r="H38" s="1"/>
      <c r="K38" s="1"/>
      <c r="O38" s="1"/>
      <c r="Q38" s="6" t="b">
        <v>0</v>
      </c>
    </row>
    <row r="39" spans="7:17" x14ac:dyDescent="0.35">
      <c r="G39" s="1"/>
      <c r="H39" s="1"/>
      <c r="K39" s="1"/>
      <c r="O39" s="1"/>
      <c r="Q39" s="6" t="b">
        <v>0</v>
      </c>
    </row>
    <row r="40" spans="7:17" x14ac:dyDescent="0.35">
      <c r="G40" s="1"/>
      <c r="H40" s="1"/>
      <c r="K40" s="1"/>
      <c r="O40" s="1"/>
      <c r="Q40" s="6" t="b">
        <v>0</v>
      </c>
    </row>
    <row r="41" spans="7:17" x14ac:dyDescent="0.35">
      <c r="G41" s="1"/>
      <c r="H41" s="1"/>
      <c r="K41" s="1"/>
      <c r="O41" s="1"/>
      <c r="Q41" s="6" t="b">
        <v>0</v>
      </c>
    </row>
    <row r="42" spans="7:17" x14ac:dyDescent="0.35">
      <c r="G42" s="1"/>
      <c r="H42" s="1"/>
      <c r="K42" s="1"/>
      <c r="O42" s="1"/>
      <c r="Q42" s="6" t="b">
        <v>0</v>
      </c>
    </row>
    <row r="43" spans="7:17" x14ac:dyDescent="0.35">
      <c r="G43" s="1"/>
      <c r="H43" s="1"/>
      <c r="K43" s="1"/>
      <c r="O43" s="1"/>
      <c r="Q43" s="6" t="b">
        <v>0</v>
      </c>
    </row>
    <row r="44" spans="7:17" x14ac:dyDescent="0.35">
      <c r="G44" s="1"/>
      <c r="H44" s="1"/>
      <c r="K44" s="1"/>
      <c r="O44" s="1"/>
      <c r="Q44" s="6" t="b">
        <v>0</v>
      </c>
    </row>
    <row r="45" spans="7:17" x14ac:dyDescent="0.35">
      <c r="G45" s="1"/>
      <c r="H45" s="1"/>
      <c r="K45" s="1"/>
      <c r="O45" s="1"/>
      <c r="Q45" s="6" t="b">
        <v>0</v>
      </c>
    </row>
    <row r="46" spans="7:17" x14ac:dyDescent="0.35">
      <c r="G46" s="1"/>
      <c r="H46" s="1"/>
      <c r="K46" s="1"/>
      <c r="O46" s="1"/>
      <c r="Q46" s="6" t="b">
        <v>0</v>
      </c>
    </row>
    <row r="47" spans="7:17" x14ac:dyDescent="0.35">
      <c r="G47" s="1"/>
      <c r="H47" s="1"/>
      <c r="K47" s="1"/>
      <c r="O47" s="1"/>
      <c r="Q47" s="6" t="b">
        <v>0</v>
      </c>
    </row>
    <row r="48" spans="7:17" x14ac:dyDescent="0.35">
      <c r="G48" s="1"/>
      <c r="H48" s="1"/>
      <c r="K48" s="1"/>
      <c r="O48" s="1"/>
      <c r="Q48" s="6" t="b">
        <v>0</v>
      </c>
    </row>
    <row r="49" spans="7:17" x14ac:dyDescent="0.35">
      <c r="G49" s="1"/>
      <c r="H49" s="1"/>
      <c r="K49" s="1"/>
      <c r="O49" s="1"/>
      <c r="Q49" s="6" t="b">
        <v>0</v>
      </c>
    </row>
    <row r="50" spans="7:17" x14ac:dyDescent="0.35">
      <c r="G50" s="1"/>
      <c r="H50" s="1"/>
      <c r="K50" s="1"/>
      <c r="O50" s="1"/>
      <c r="Q50" s="6" t="b">
        <v>0</v>
      </c>
    </row>
    <row r="51" spans="7:17" x14ac:dyDescent="0.35">
      <c r="G51" s="1"/>
      <c r="H51" s="1"/>
      <c r="K51" s="1"/>
      <c r="O51" s="1"/>
      <c r="Q51" s="6" t="b">
        <v>0</v>
      </c>
    </row>
    <row r="52" spans="7:17" x14ac:dyDescent="0.35">
      <c r="G52" s="1"/>
      <c r="H52" s="1"/>
      <c r="K52" s="1"/>
      <c r="O52" s="1"/>
      <c r="Q52" s="6" t="b">
        <v>0</v>
      </c>
    </row>
    <row r="53" spans="7:17" x14ac:dyDescent="0.35">
      <c r="G53" s="1"/>
      <c r="H53" s="1"/>
      <c r="K53" s="1"/>
      <c r="O53" s="1"/>
      <c r="Q53" s="6" t="b">
        <v>0</v>
      </c>
    </row>
    <row r="54" spans="7:17" x14ac:dyDescent="0.35">
      <c r="G54" s="1"/>
      <c r="H54" s="1"/>
      <c r="K54" s="1"/>
      <c r="O54" s="1"/>
      <c r="Q54" s="6" t="b">
        <v>0</v>
      </c>
    </row>
    <row r="55" spans="7:17" x14ac:dyDescent="0.35">
      <c r="G55" s="1"/>
      <c r="H55" s="1"/>
      <c r="K55" s="1"/>
      <c r="O55" s="1"/>
      <c r="Q55" s="6" t="b">
        <v>0</v>
      </c>
    </row>
    <row r="56" spans="7:17" x14ac:dyDescent="0.35">
      <c r="G56" s="1"/>
      <c r="H56" s="1"/>
      <c r="K56" s="1"/>
      <c r="O56" s="1"/>
      <c r="Q56" s="6" t="b">
        <v>0</v>
      </c>
    </row>
    <row r="57" spans="7:17" x14ac:dyDescent="0.35">
      <c r="G57" s="1"/>
      <c r="H57" s="1"/>
      <c r="K57" s="1"/>
      <c r="O57" s="1"/>
      <c r="Q57" s="6" t="b">
        <v>0</v>
      </c>
    </row>
    <row r="58" spans="7:17" x14ac:dyDescent="0.35">
      <c r="G58" s="1"/>
      <c r="H58" s="1"/>
      <c r="K58" s="1"/>
      <c r="O58" s="1"/>
      <c r="Q58" s="6" t="b">
        <v>0</v>
      </c>
    </row>
    <row r="59" spans="7:17" x14ac:dyDescent="0.35">
      <c r="G59" s="1"/>
      <c r="H59" s="1"/>
      <c r="K59" s="1"/>
      <c r="O59" s="1"/>
      <c r="Q59" s="6" t="b">
        <v>0</v>
      </c>
    </row>
    <row r="60" spans="7:17" x14ac:dyDescent="0.35">
      <c r="G60" s="1"/>
      <c r="H60" s="1"/>
      <c r="K60" s="1"/>
      <c r="O60" s="1"/>
      <c r="Q60" s="6" t="b">
        <v>0</v>
      </c>
    </row>
    <row r="61" spans="7:17" x14ac:dyDescent="0.35">
      <c r="G61" s="1"/>
      <c r="H61" s="1"/>
      <c r="K61" s="1"/>
      <c r="O61" s="1"/>
      <c r="Q61" s="6" t="b">
        <v>0</v>
      </c>
    </row>
    <row r="62" spans="7:17" x14ac:dyDescent="0.35">
      <c r="G62" s="1"/>
      <c r="H62" s="1"/>
      <c r="K62" s="1"/>
      <c r="O62" s="1"/>
      <c r="Q62" s="6" t="b">
        <v>0</v>
      </c>
    </row>
    <row r="63" spans="7:17" x14ac:dyDescent="0.35">
      <c r="G63" s="1"/>
      <c r="H63" s="1"/>
      <c r="K63" s="1"/>
      <c r="O63" s="1"/>
      <c r="Q63" s="6" t="b">
        <v>0</v>
      </c>
    </row>
    <row r="64" spans="7:17" x14ac:dyDescent="0.35">
      <c r="G64" s="1"/>
      <c r="H64" s="1"/>
      <c r="K64" s="1"/>
      <c r="O64" s="1"/>
      <c r="Q64" s="6" t="b">
        <v>0</v>
      </c>
    </row>
    <row r="65" spans="7:17" x14ac:dyDescent="0.35">
      <c r="G65" s="1"/>
      <c r="H65" s="1"/>
      <c r="K65" s="1"/>
      <c r="O65" s="1"/>
      <c r="Q65" s="6" t="b">
        <v>0</v>
      </c>
    </row>
    <row r="66" spans="7:17" x14ac:dyDescent="0.35">
      <c r="G66" s="1"/>
      <c r="H66" s="1"/>
      <c r="K66" s="1"/>
      <c r="O66" s="1"/>
      <c r="Q66" s="6" t="b">
        <v>0</v>
      </c>
    </row>
    <row r="67" spans="7:17" x14ac:dyDescent="0.35">
      <c r="G67" s="1"/>
      <c r="H67" s="1"/>
      <c r="K67" s="1"/>
      <c r="O67" s="1"/>
      <c r="Q67" s="6" t="b">
        <v>0</v>
      </c>
    </row>
    <row r="68" spans="7:17" x14ac:dyDescent="0.35">
      <c r="G68" s="1"/>
      <c r="H68" s="1"/>
      <c r="K68" s="1"/>
      <c r="O68" s="1"/>
      <c r="Q68" s="6" t="b">
        <v>0</v>
      </c>
    </row>
    <row r="69" spans="7:17" x14ac:dyDescent="0.35">
      <c r="G69" s="1"/>
      <c r="H69" s="1"/>
      <c r="K69" s="1"/>
      <c r="O69" s="1"/>
      <c r="Q69" s="6" t="b">
        <v>0</v>
      </c>
    </row>
    <row r="70" spans="7:17" x14ac:dyDescent="0.35">
      <c r="G70" s="1"/>
      <c r="H70" s="1"/>
      <c r="K70" s="1"/>
      <c r="O70" s="1"/>
      <c r="Q70" s="6" t="b">
        <v>0</v>
      </c>
    </row>
    <row r="71" spans="7:17" x14ac:dyDescent="0.35">
      <c r="G71" s="1"/>
      <c r="H71" s="1"/>
      <c r="K71" s="1"/>
      <c r="O71" s="1"/>
      <c r="Q71" s="6" t="b">
        <v>0</v>
      </c>
    </row>
    <row r="72" spans="7:17" x14ac:dyDescent="0.35">
      <c r="G72" s="1"/>
      <c r="H72" s="1"/>
      <c r="K72" s="1"/>
      <c r="O72" s="1"/>
      <c r="Q72" s="6" t="b">
        <v>0</v>
      </c>
    </row>
    <row r="73" spans="7:17" x14ac:dyDescent="0.35">
      <c r="G73" s="1"/>
      <c r="H73" s="1"/>
      <c r="K73" s="1"/>
      <c r="O73" s="1"/>
      <c r="Q73" s="6" t="b">
        <v>0</v>
      </c>
    </row>
    <row r="74" spans="7:17" x14ac:dyDescent="0.35">
      <c r="G74" s="1"/>
      <c r="H74" s="1"/>
      <c r="K74" s="1"/>
      <c r="O74" s="1"/>
      <c r="Q74" s="6" t="b">
        <v>0</v>
      </c>
    </row>
    <row r="75" spans="7:17" x14ac:dyDescent="0.35">
      <c r="G75" s="1"/>
      <c r="H75" s="1"/>
      <c r="K75" s="1"/>
      <c r="O75" s="1"/>
      <c r="Q75" s="6" t="b">
        <v>0</v>
      </c>
    </row>
    <row r="76" spans="7:17" x14ac:dyDescent="0.35">
      <c r="G76" s="1"/>
      <c r="H76" s="1"/>
      <c r="K76" s="1"/>
      <c r="O76" s="1"/>
      <c r="Q76" s="6" t="b">
        <v>0</v>
      </c>
    </row>
    <row r="77" spans="7:17" x14ac:dyDescent="0.35">
      <c r="G77" s="1"/>
      <c r="H77" s="1"/>
      <c r="K77" s="1"/>
      <c r="O77" s="1"/>
      <c r="Q77" s="6" t="b">
        <v>0</v>
      </c>
    </row>
    <row r="78" spans="7:17" x14ac:dyDescent="0.35">
      <c r="G78" s="1"/>
      <c r="H78" s="1"/>
      <c r="K78" s="1"/>
      <c r="O78" s="1"/>
      <c r="Q78" s="6" t="b">
        <v>0</v>
      </c>
    </row>
    <row r="79" spans="7:17" x14ac:dyDescent="0.35">
      <c r="G79" s="1"/>
      <c r="H79" s="1"/>
      <c r="K79" s="1"/>
      <c r="O79" s="1"/>
      <c r="Q79" s="6" t="b">
        <v>0</v>
      </c>
    </row>
    <row r="80" spans="7:17" x14ac:dyDescent="0.35">
      <c r="G80" s="1"/>
      <c r="H80" s="1"/>
      <c r="K80" s="1"/>
      <c r="O80" s="1"/>
      <c r="Q80" s="6" t="b">
        <v>0</v>
      </c>
    </row>
    <row r="81" spans="7:17" x14ac:dyDescent="0.35">
      <c r="G81" s="1"/>
      <c r="H81" s="1"/>
      <c r="K81" s="1"/>
      <c r="O81" s="1"/>
      <c r="Q81" s="6" t="b">
        <v>0</v>
      </c>
    </row>
    <row r="82" spans="7:17" x14ac:dyDescent="0.35">
      <c r="G82" s="1"/>
      <c r="H82" s="1"/>
      <c r="K82" s="1"/>
      <c r="O82" s="1"/>
      <c r="Q82" s="6" t="b">
        <v>0</v>
      </c>
    </row>
    <row r="83" spans="7:17" x14ac:dyDescent="0.35">
      <c r="G83" s="1"/>
      <c r="H83" s="1"/>
      <c r="K83" s="1"/>
      <c r="O83" s="1"/>
      <c r="Q83" s="6" t="b">
        <v>0</v>
      </c>
    </row>
    <row r="84" spans="7:17" x14ac:dyDescent="0.35">
      <c r="G84" s="1"/>
      <c r="H84" s="1"/>
      <c r="K84" s="1"/>
      <c r="O84" s="1"/>
      <c r="Q84" s="6" t="b">
        <v>0</v>
      </c>
    </row>
    <row r="85" spans="7:17" x14ac:dyDescent="0.35">
      <c r="G85" s="1"/>
      <c r="H85" s="1"/>
      <c r="K85" s="1"/>
      <c r="O85" s="1"/>
      <c r="Q85" s="6" t="b">
        <v>0</v>
      </c>
    </row>
    <row r="86" spans="7:17" x14ac:dyDescent="0.35">
      <c r="G86" s="1"/>
      <c r="H86" s="1"/>
      <c r="K86" s="1"/>
      <c r="O86" s="1"/>
      <c r="Q86" s="6" t="b">
        <v>0</v>
      </c>
    </row>
    <row r="87" spans="7:17" x14ac:dyDescent="0.35">
      <c r="G87" s="1"/>
      <c r="H87" s="1"/>
      <c r="K87" s="1"/>
      <c r="O87" s="1"/>
      <c r="Q87" s="6" t="b">
        <v>0</v>
      </c>
    </row>
    <row r="88" spans="7:17" x14ac:dyDescent="0.35">
      <c r="G88" s="1"/>
      <c r="H88" s="1"/>
      <c r="K88" s="1"/>
      <c r="O88" s="1"/>
      <c r="Q88" s="6" t="b">
        <v>0</v>
      </c>
    </row>
    <row r="89" spans="7:17" x14ac:dyDescent="0.35">
      <c r="G89" s="1"/>
      <c r="H89" s="1"/>
      <c r="K89" s="1"/>
      <c r="O89" s="1"/>
      <c r="Q89" s="6" t="b">
        <v>0</v>
      </c>
    </row>
    <row r="90" spans="7:17" x14ac:dyDescent="0.35">
      <c r="G90" s="1"/>
      <c r="H90" s="1"/>
      <c r="K90" s="1"/>
      <c r="O90" s="1"/>
      <c r="Q90" s="6" t="b">
        <v>0</v>
      </c>
    </row>
    <row r="91" spans="7:17" x14ac:dyDescent="0.35">
      <c r="G91" s="1"/>
      <c r="H91" s="1"/>
      <c r="K91" s="1"/>
      <c r="O91" s="1"/>
      <c r="Q91" s="6" t="b">
        <v>0</v>
      </c>
    </row>
    <row r="92" spans="7:17" x14ac:dyDescent="0.35">
      <c r="G92" s="1"/>
      <c r="H92" s="1"/>
      <c r="K92" s="1"/>
      <c r="O92" s="1"/>
      <c r="Q92" s="6" t="b">
        <v>0</v>
      </c>
    </row>
    <row r="93" spans="7:17" x14ac:dyDescent="0.35">
      <c r="G93" s="1"/>
      <c r="H93" s="1"/>
      <c r="K93" s="1"/>
      <c r="O93" s="1"/>
      <c r="Q93" s="6" t="b">
        <v>0</v>
      </c>
    </row>
    <row r="94" spans="7:17" x14ac:dyDescent="0.35">
      <c r="H94" s="1"/>
      <c r="K94" s="1"/>
      <c r="O94" s="1"/>
      <c r="Q94" s="6" t="b">
        <v>0</v>
      </c>
    </row>
    <row r="95" spans="7:17" x14ac:dyDescent="0.35">
      <c r="H95" s="1"/>
      <c r="K95" s="1"/>
      <c r="O95" s="1"/>
      <c r="Q95" s="6" t="b">
        <v>0</v>
      </c>
    </row>
    <row r="96" spans="7:17" x14ac:dyDescent="0.35">
      <c r="H96" s="1"/>
      <c r="K96" s="1"/>
      <c r="O96" s="1"/>
      <c r="Q96" s="6" t="b">
        <v>0</v>
      </c>
    </row>
    <row r="97" spans="1:17" x14ac:dyDescent="0.35">
      <c r="H97" s="1"/>
      <c r="K97" s="1"/>
      <c r="O97" s="1"/>
      <c r="Q97" s="6" t="b">
        <v>0</v>
      </c>
    </row>
    <row r="98" spans="1:17" x14ac:dyDescent="0.35">
      <c r="H98" s="1"/>
      <c r="K98" s="1"/>
      <c r="O98" s="1"/>
      <c r="Q98" s="6" t="b">
        <v>0</v>
      </c>
    </row>
    <row r="99" spans="1:17" x14ac:dyDescent="0.35">
      <c r="A99" s="15"/>
      <c r="B99" s="15"/>
      <c r="C99"/>
      <c r="D99"/>
      <c r="E99"/>
      <c r="F99"/>
      <c r="G99"/>
      <c r="H99" s="9"/>
      <c r="I99"/>
      <c r="J99"/>
      <c r="K99"/>
      <c r="L99"/>
      <c r="M99"/>
      <c r="N99"/>
      <c r="O99" s="9"/>
      <c r="P99"/>
    </row>
    <row r="100" spans="1:17" x14ac:dyDescent="0.35">
      <c r="A100" s="15"/>
      <c r="B100" s="15"/>
      <c r="C100"/>
      <c r="D100"/>
      <c r="E100"/>
      <c r="F100"/>
      <c r="G100"/>
      <c r="H100" s="9"/>
      <c r="I100"/>
      <c r="J100"/>
      <c r="K100"/>
      <c r="L100"/>
      <c r="M100"/>
      <c r="N100"/>
      <c r="O100" s="9"/>
      <c r="P100"/>
    </row>
    <row r="101" spans="1:17" x14ac:dyDescent="0.35">
      <c r="A101" s="15"/>
      <c r="B101" s="15"/>
      <c r="C101"/>
      <c r="D101"/>
      <c r="E101"/>
      <c r="F101"/>
      <c r="G101"/>
      <c r="H101" s="9"/>
      <c r="I101"/>
      <c r="J101"/>
      <c r="K101"/>
      <c r="L101"/>
      <c r="M101"/>
      <c r="N101"/>
      <c r="O101" s="9"/>
      <c r="P101"/>
    </row>
    <row r="102" spans="1:17" x14ac:dyDescent="0.35">
      <c r="A102" s="15"/>
      <c r="B102" s="15"/>
      <c r="C102"/>
      <c r="D102"/>
      <c r="E102"/>
      <c r="F102"/>
      <c r="G102"/>
      <c r="H102" s="9"/>
      <c r="I102"/>
      <c r="J102"/>
      <c r="K102"/>
      <c r="L102"/>
      <c r="M102"/>
      <c r="N102"/>
      <c r="O102" s="9"/>
      <c r="P102"/>
    </row>
    <row r="103" spans="1:17" x14ac:dyDescent="0.35">
      <c r="A103" s="15"/>
      <c r="B103" s="15"/>
      <c r="C103"/>
      <c r="D103"/>
      <c r="E103"/>
      <c r="F103"/>
      <c r="G103"/>
      <c r="H103" s="9"/>
      <c r="I103"/>
      <c r="J103"/>
      <c r="K103"/>
      <c r="L103"/>
      <c r="M103"/>
      <c r="N103"/>
      <c r="O103" s="9"/>
      <c r="P103"/>
    </row>
    <row r="104" spans="1:17" x14ac:dyDescent="0.35">
      <c r="A104" s="15"/>
      <c r="B104" s="15"/>
      <c r="C104"/>
      <c r="D104"/>
      <c r="E104"/>
      <c r="F104"/>
      <c r="G104"/>
      <c r="H104" s="9"/>
      <c r="I104"/>
      <c r="J104"/>
      <c r="K104"/>
      <c r="L104"/>
      <c r="M104"/>
      <c r="N104"/>
      <c r="O104" s="9"/>
      <c r="P104"/>
    </row>
    <row r="105" spans="1:17" x14ac:dyDescent="0.35">
      <c r="A105" s="15"/>
      <c r="B105" s="15"/>
      <c r="C105"/>
      <c r="D105"/>
      <c r="E105"/>
      <c r="F105"/>
      <c r="G105"/>
      <c r="H105" s="9"/>
      <c r="I105"/>
      <c r="J105"/>
      <c r="K105"/>
      <c r="L105"/>
      <c r="M105"/>
      <c r="N105"/>
      <c r="O105" s="9"/>
      <c r="P105"/>
    </row>
    <row r="106" spans="1:17" x14ac:dyDescent="0.35">
      <c r="A106" s="15"/>
      <c r="B106" s="15"/>
      <c r="C106"/>
      <c r="D106"/>
      <c r="E106"/>
      <c r="F106"/>
      <c r="G106"/>
      <c r="H106" s="9"/>
      <c r="I106"/>
      <c r="J106"/>
      <c r="K106"/>
      <c r="L106"/>
      <c r="M106"/>
      <c r="N106"/>
      <c r="O106" s="9"/>
      <c r="P106"/>
    </row>
    <row r="107" spans="1:17" x14ac:dyDescent="0.35">
      <c r="A107" s="15"/>
      <c r="B107" s="15"/>
      <c r="C107"/>
      <c r="D107"/>
      <c r="E107"/>
      <c r="F107"/>
      <c r="G107"/>
      <c r="H107" s="9"/>
      <c r="I107"/>
      <c r="J107"/>
      <c r="K107"/>
      <c r="L107"/>
      <c r="M107"/>
      <c r="N107"/>
      <c r="O107" s="9"/>
      <c r="P107"/>
    </row>
    <row r="108" spans="1:17" x14ac:dyDescent="0.35">
      <c r="A108" s="15"/>
      <c r="B108" s="15"/>
      <c r="C108"/>
      <c r="D108"/>
      <c r="E108"/>
      <c r="F108"/>
      <c r="G108"/>
      <c r="H108" s="9"/>
      <c r="I108"/>
      <c r="J108"/>
      <c r="K108"/>
      <c r="L108"/>
      <c r="M108"/>
      <c r="N108"/>
      <c r="O108" s="9"/>
      <c r="P108"/>
    </row>
    <row r="109" spans="1:17" x14ac:dyDescent="0.35">
      <c r="A109" s="15"/>
      <c r="B109" s="15"/>
      <c r="C109"/>
      <c r="D109"/>
      <c r="E109"/>
      <c r="F109"/>
      <c r="G109"/>
      <c r="H109" s="9"/>
      <c r="I109"/>
      <c r="J109"/>
      <c r="K109"/>
      <c r="L109"/>
      <c r="M109"/>
      <c r="N109"/>
      <c r="O109" s="9"/>
      <c r="P109"/>
    </row>
    <row r="110" spans="1:17" x14ac:dyDescent="0.35">
      <c r="A110" s="15"/>
      <c r="B110" s="15"/>
      <c r="C110"/>
      <c r="D110"/>
      <c r="E110"/>
      <c r="F110"/>
      <c r="G110"/>
      <c r="H110" s="9"/>
      <c r="I110"/>
      <c r="J110"/>
      <c r="K110"/>
      <c r="L110"/>
      <c r="M110"/>
      <c r="N110"/>
      <c r="O110" s="9"/>
      <c r="P110"/>
    </row>
    <row r="111" spans="1:17" x14ac:dyDescent="0.35">
      <c r="A111" s="15"/>
      <c r="B111" s="15"/>
      <c r="C111"/>
      <c r="D111"/>
      <c r="E111"/>
      <c r="F111"/>
      <c r="G111"/>
      <c r="H111" s="9"/>
      <c r="I111"/>
      <c r="J111"/>
      <c r="K111"/>
      <c r="L111"/>
      <c r="M111"/>
      <c r="N111"/>
      <c r="O111" s="9"/>
      <c r="P111"/>
    </row>
    <row r="112" spans="1:17" x14ac:dyDescent="0.35">
      <c r="A112" s="15"/>
      <c r="B112" s="15"/>
      <c r="C112"/>
      <c r="D112"/>
      <c r="E112"/>
      <c r="F112"/>
      <c r="G112"/>
      <c r="H112" s="9"/>
      <c r="I112"/>
      <c r="J112"/>
      <c r="K112"/>
      <c r="L112"/>
      <c r="M112"/>
      <c r="N112"/>
      <c r="O112" s="9"/>
      <c r="P112"/>
    </row>
    <row r="113" spans="1:16" x14ac:dyDescent="0.35">
      <c r="A113" s="15"/>
      <c r="B113" s="15"/>
      <c r="C113"/>
      <c r="D113"/>
      <c r="E113"/>
      <c r="F113"/>
      <c r="G113"/>
      <c r="H113" s="9"/>
      <c r="I113"/>
      <c r="J113"/>
      <c r="K113"/>
      <c r="L113"/>
      <c r="M113"/>
      <c r="N113"/>
      <c r="O113" s="9"/>
      <c r="P113"/>
    </row>
    <row r="114" spans="1:16" x14ac:dyDescent="0.35">
      <c r="A114" s="15"/>
      <c r="B114" s="15"/>
      <c r="C114"/>
      <c r="D114"/>
      <c r="E114"/>
      <c r="F114"/>
      <c r="G114"/>
      <c r="H114" s="9"/>
      <c r="I114"/>
      <c r="J114"/>
      <c r="K114"/>
      <c r="L114"/>
      <c r="M114"/>
      <c r="N114"/>
      <c r="O114" s="9"/>
      <c r="P114"/>
    </row>
    <row r="115" spans="1:16" x14ac:dyDescent="0.35">
      <c r="A115" s="15"/>
      <c r="B115" s="15"/>
      <c r="C115"/>
      <c r="D115"/>
      <c r="E115"/>
      <c r="F115"/>
      <c r="G115"/>
      <c r="H115" s="9"/>
      <c r="I115"/>
      <c r="J115"/>
      <c r="K115"/>
      <c r="L115"/>
      <c r="M115"/>
      <c r="N115"/>
      <c r="O115" s="9"/>
      <c r="P115"/>
    </row>
    <row r="116" spans="1:16" x14ac:dyDescent="0.35">
      <c r="A116" s="15"/>
      <c r="B116" s="15"/>
      <c r="C116"/>
      <c r="D116"/>
      <c r="E116"/>
      <c r="F116"/>
      <c r="G116"/>
      <c r="H116" s="9"/>
      <c r="I116"/>
      <c r="J116"/>
      <c r="K116"/>
      <c r="L116"/>
      <c r="M116"/>
      <c r="N116"/>
      <c r="O116" s="9"/>
      <c r="P116"/>
    </row>
    <row r="117" spans="1:16" x14ac:dyDescent="0.35">
      <c r="A117" s="15"/>
      <c r="B117" s="15"/>
      <c r="C117"/>
      <c r="D117"/>
      <c r="E117"/>
      <c r="F117"/>
      <c r="G117"/>
      <c r="H117" s="9"/>
      <c r="I117"/>
      <c r="J117"/>
      <c r="K117"/>
      <c r="L117"/>
      <c r="M117"/>
      <c r="N117"/>
      <c r="O117" s="9"/>
      <c r="P117"/>
    </row>
    <row r="118" spans="1:16" x14ac:dyDescent="0.35">
      <c r="A118" s="15"/>
      <c r="B118" s="15"/>
      <c r="C118"/>
      <c r="D118"/>
      <c r="E118"/>
      <c r="F118"/>
      <c r="G118"/>
      <c r="H118" s="9"/>
      <c r="I118"/>
      <c r="J118"/>
      <c r="K118"/>
      <c r="L118"/>
      <c r="M118"/>
      <c r="N118"/>
      <c r="O118" s="9"/>
      <c r="P118"/>
    </row>
    <row r="119" spans="1:16" x14ac:dyDescent="0.35">
      <c r="A119" s="15"/>
      <c r="B119" s="15"/>
      <c r="C119"/>
      <c r="D119"/>
      <c r="E119"/>
      <c r="F119"/>
      <c r="G119"/>
      <c r="H119" s="9"/>
      <c r="I119"/>
      <c r="J119"/>
      <c r="K119"/>
      <c r="L119"/>
      <c r="M119"/>
      <c r="N119"/>
      <c r="O119" s="9"/>
      <c r="P119"/>
    </row>
    <row r="120" spans="1:16" x14ac:dyDescent="0.35">
      <c r="A120" s="15"/>
      <c r="B120" s="15"/>
      <c r="C120"/>
      <c r="D120"/>
      <c r="E120"/>
      <c r="F120"/>
      <c r="G120"/>
      <c r="H120" s="9"/>
      <c r="I120"/>
      <c r="J120"/>
      <c r="K120"/>
      <c r="L120"/>
      <c r="M120"/>
      <c r="N120"/>
      <c r="O120" s="9"/>
      <c r="P120"/>
    </row>
    <row r="121" spans="1:16" x14ac:dyDescent="0.35">
      <c r="A121" s="15"/>
      <c r="B121" s="15"/>
      <c r="C121"/>
      <c r="D121"/>
      <c r="E121"/>
      <c r="F121"/>
      <c r="G121"/>
      <c r="H121" s="9"/>
      <c r="I121"/>
      <c r="J121"/>
      <c r="K121"/>
      <c r="L121"/>
      <c r="M121"/>
      <c r="N121"/>
      <c r="O121" s="9"/>
      <c r="P121"/>
    </row>
    <row r="122" spans="1:16" x14ac:dyDescent="0.35">
      <c r="A122" s="15"/>
      <c r="B122" s="15"/>
      <c r="C122"/>
      <c r="D122"/>
      <c r="E122"/>
      <c r="F122"/>
      <c r="G122"/>
      <c r="H122" s="9"/>
      <c r="I122"/>
      <c r="J122"/>
      <c r="K122"/>
      <c r="L122"/>
      <c r="M122"/>
      <c r="N122"/>
      <c r="O122" s="9"/>
      <c r="P122"/>
    </row>
    <row r="123" spans="1:16" x14ac:dyDescent="0.35">
      <c r="A123" s="15"/>
      <c r="B123" s="15"/>
      <c r="C123"/>
      <c r="D123"/>
      <c r="E123"/>
      <c r="F123"/>
      <c r="G123"/>
      <c r="H123" s="9"/>
      <c r="I123"/>
      <c r="J123"/>
      <c r="K123"/>
      <c r="L123"/>
      <c r="M123"/>
      <c r="N123"/>
      <c r="O123" s="9"/>
      <c r="P123"/>
    </row>
    <row r="124" spans="1:16" x14ac:dyDescent="0.35">
      <c r="A124" s="15"/>
      <c r="B124" s="15"/>
      <c r="C124"/>
      <c r="D124"/>
      <c r="E124"/>
      <c r="F124"/>
      <c r="G124"/>
      <c r="H124" s="9"/>
      <c r="I124"/>
      <c r="J124"/>
      <c r="K124"/>
      <c r="L124"/>
      <c r="M124"/>
      <c r="N124"/>
      <c r="O124" s="9"/>
      <c r="P124"/>
    </row>
    <row r="125" spans="1:16" x14ac:dyDescent="0.35">
      <c r="A125" s="15"/>
      <c r="B125" s="15"/>
      <c r="C125"/>
      <c r="D125"/>
      <c r="E125"/>
      <c r="F125"/>
      <c r="G125"/>
      <c r="H125" s="9"/>
      <c r="I125"/>
      <c r="J125"/>
      <c r="K125"/>
      <c r="L125"/>
      <c r="M125"/>
      <c r="N125"/>
      <c r="O125" s="9"/>
      <c r="P125"/>
    </row>
    <row r="126" spans="1:16" x14ac:dyDescent="0.35">
      <c r="A126" s="15"/>
      <c r="B126" s="15"/>
      <c r="C126"/>
      <c r="D126"/>
      <c r="E126"/>
      <c r="F126"/>
      <c r="G126"/>
      <c r="H126" s="9"/>
      <c r="I126"/>
      <c r="J126"/>
      <c r="K126"/>
      <c r="L126"/>
      <c r="M126"/>
      <c r="N126"/>
      <c r="O126" s="9"/>
      <c r="P126"/>
    </row>
    <row r="127" spans="1:16" x14ac:dyDescent="0.35">
      <c r="A127" s="15"/>
      <c r="B127" s="15"/>
      <c r="C127"/>
      <c r="D127"/>
      <c r="E127"/>
      <c r="F127"/>
      <c r="G127"/>
      <c r="H127" s="9"/>
      <c r="I127"/>
      <c r="J127"/>
      <c r="K127"/>
      <c r="L127"/>
      <c r="M127"/>
      <c r="N127"/>
      <c r="O127" s="9"/>
      <c r="P127"/>
    </row>
    <row r="128" spans="1:16" x14ac:dyDescent="0.35">
      <c r="A128" s="15"/>
      <c r="B128" s="15"/>
      <c r="C128"/>
      <c r="D128"/>
      <c r="E128"/>
      <c r="F128"/>
      <c r="G128"/>
      <c r="H128" s="9"/>
      <c r="I128"/>
      <c r="J128"/>
      <c r="K128"/>
      <c r="L128"/>
      <c r="M128"/>
      <c r="N128"/>
      <c r="O128" s="9"/>
      <c r="P128"/>
    </row>
    <row r="129" spans="1:16" x14ac:dyDescent="0.35">
      <c r="A129" s="15"/>
      <c r="B129" s="15"/>
      <c r="C129"/>
      <c r="D129"/>
      <c r="E129"/>
      <c r="F129"/>
      <c r="G129"/>
      <c r="H129" s="9"/>
      <c r="I129"/>
      <c r="J129"/>
      <c r="K129"/>
      <c r="L129"/>
      <c r="M129"/>
      <c r="N129"/>
      <c r="O129" s="9"/>
      <c r="P129"/>
    </row>
    <row r="130" spans="1:16" x14ac:dyDescent="0.35">
      <c r="A130" s="15"/>
      <c r="B130" s="15"/>
      <c r="C130"/>
      <c r="D130"/>
      <c r="E130"/>
      <c r="F130"/>
      <c r="G130"/>
      <c r="H130" s="9"/>
      <c r="I130"/>
      <c r="J130"/>
      <c r="K130"/>
      <c r="L130"/>
      <c r="M130"/>
      <c r="N130"/>
      <c r="O130" s="9"/>
      <c r="P130"/>
    </row>
    <row r="131" spans="1:16" x14ac:dyDescent="0.35">
      <c r="A131" s="15"/>
      <c r="B131" s="15"/>
      <c r="C131"/>
      <c r="D131"/>
      <c r="E131"/>
      <c r="F131"/>
      <c r="G131"/>
      <c r="H131" s="9"/>
      <c r="I131"/>
      <c r="J131"/>
      <c r="K131"/>
      <c r="L131"/>
      <c r="M131"/>
      <c r="N131"/>
      <c r="O131" s="9"/>
      <c r="P131"/>
    </row>
    <row r="132" spans="1:16" x14ac:dyDescent="0.35">
      <c r="A132" s="15"/>
      <c r="B132" s="15"/>
      <c r="C132"/>
      <c r="D132"/>
      <c r="E132"/>
      <c r="F132"/>
      <c r="G132"/>
      <c r="H132" s="9"/>
      <c r="I132"/>
      <c r="J132"/>
      <c r="K132"/>
      <c r="L132"/>
      <c r="M132"/>
      <c r="N132"/>
      <c r="O132" s="9"/>
      <c r="P132"/>
    </row>
    <row r="133" spans="1:16" x14ac:dyDescent="0.35">
      <c r="A133" s="15"/>
      <c r="B133" s="15"/>
      <c r="C133"/>
      <c r="D133"/>
      <c r="E133"/>
      <c r="F133"/>
      <c r="G133"/>
      <c r="H133" s="9"/>
      <c r="I133"/>
      <c r="J133"/>
      <c r="K133"/>
      <c r="L133"/>
      <c r="M133"/>
      <c r="N133"/>
      <c r="O133" s="9"/>
      <c r="P133"/>
    </row>
    <row r="134" spans="1:16" x14ac:dyDescent="0.35">
      <c r="A134" s="15"/>
      <c r="B134" s="15"/>
      <c r="C134"/>
      <c r="D134"/>
      <c r="E134"/>
      <c r="F134"/>
      <c r="G134"/>
      <c r="H134" s="9"/>
      <c r="I134"/>
      <c r="J134"/>
      <c r="K134"/>
      <c r="L134"/>
      <c r="M134"/>
      <c r="N134"/>
      <c r="O134" s="9"/>
      <c r="P134"/>
    </row>
    <row r="135" spans="1:16" x14ac:dyDescent="0.35">
      <c r="A135" s="15"/>
      <c r="B135" s="15"/>
      <c r="C135"/>
      <c r="D135"/>
      <c r="E135"/>
      <c r="F135"/>
      <c r="G135"/>
      <c r="H135" s="9"/>
      <c r="I135"/>
      <c r="J135"/>
      <c r="K135"/>
      <c r="L135"/>
      <c r="M135"/>
      <c r="N135"/>
      <c r="O135" s="9"/>
      <c r="P135"/>
    </row>
    <row r="136" spans="1:16" x14ac:dyDescent="0.35">
      <c r="A136" s="15"/>
      <c r="B136" s="15"/>
      <c r="C136"/>
      <c r="D136"/>
      <c r="E136"/>
      <c r="F136"/>
      <c r="G136"/>
      <c r="H136" s="9"/>
      <c r="I136"/>
      <c r="J136"/>
      <c r="K136"/>
      <c r="L136"/>
      <c r="M136"/>
      <c r="N136"/>
      <c r="O136" s="9"/>
      <c r="P136"/>
    </row>
    <row r="137" spans="1:16" x14ac:dyDescent="0.35">
      <c r="A137" s="15"/>
      <c r="B137" s="15"/>
      <c r="C137"/>
      <c r="D137"/>
      <c r="E137"/>
      <c r="F137"/>
      <c r="G137"/>
      <c r="H137" s="9"/>
      <c r="I137"/>
      <c r="J137"/>
      <c r="K137"/>
      <c r="L137"/>
      <c r="M137"/>
      <c r="N137"/>
      <c r="O137" s="9"/>
      <c r="P137"/>
    </row>
    <row r="138" spans="1:16" x14ac:dyDescent="0.35">
      <c r="A138" s="15"/>
      <c r="B138" s="15"/>
      <c r="C138"/>
      <c r="D138"/>
      <c r="E138"/>
      <c r="F138"/>
      <c r="G138"/>
      <c r="H138" s="9"/>
      <c r="I138"/>
      <c r="J138"/>
      <c r="K138"/>
      <c r="L138"/>
      <c r="M138"/>
      <c r="N138"/>
      <c r="O138" s="9"/>
      <c r="P138"/>
    </row>
    <row r="139" spans="1:16" x14ac:dyDescent="0.35">
      <c r="A139" s="15"/>
      <c r="B139" s="15"/>
      <c r="C139"/>
      <c r="D139"/>
      <c r="E139"/>
      <c r="F139"/>
      <c r="G139"/>
      <c r="H139" s="9"/>
      <c r="I139"/>
      <c r="J139"/>
      <c r="K139"/>
      <c r="L139"/>
      <c r="M139"/>
      <c r="N139"/>
      <c r="O139" s="9"/>
      <c r="P139"/>
    </row>
    <row r="140" spans="1:16" x14ac:dyDescent="0.35">
      <c r="A140" s="15"/>
      <c r="B140" s="15"/>
      <c r="C140"/>
      <c r="D140"/>
      <c r="E140"/>
      <c r="F140"/>
      <c r="G140"/>
      <c r="H140" s="9"/>
      <c r="I140"/>
      <c r="J140"/>
      <c r="K140"/>
      <c r="L140"/>
      <c r="M140"/>
      <c r="N140"/>
      <c r="O140" s="9"/>
      <c r="P140"/>
    </row>
    <row r="141" spans="1:16" x14ac:dyDescent="0.35">
      <c r="A141" s="15"/>
      <c r="B141" s="15"/>
      <c r="C141"/>
      <c r="D141"/>
      <c r="E141"/>
      <c r="F141"/>
      <c r="G141"/>
      <c r="H141" s="9"/>
      <c r="I141"/>
      <c r="J141"/>
      <c r="K141"/>
      <c r="L141"/>
      <c r="M141"/>
      <c r="N141"/>
      <c r="O141" s="9"/>
      <c r="P141"/>
    </row>
    <row r="142" spans="1:16" x14ac:dyDescent="0.35">
      <c r="A142" s="15"/>
      <c r="B142" s="15"/>
      <c r="C142"/>
      <c r="D142"/>
      <c r="E142"/>
      <c r="F142"/>
      <c r="G142"/>
      <c r="H142" s="9"/>
      <c r="I142"/>
      <c r="J142"/>
      <c r="K142"/>
      <c r="L142"/>
      <c r="M142"/>
      <c r="N142"/>
      <c r="O142" s="9"/>
      <c r="P142"/>
    </row>
    <row r="143" spans="1:16" x14ac:dyDescent="0.35">
      <c r="A143" s="15"/>
      <c r="B143" s="15"/>
      <c r="C143"/>
      <c r="D143"/>
      <c r="E143"/>
      <c r="F143"/>
      <c r="G143"/>
      <c r="H143" s="9"/>
      <c r="I143"/>
      <c r="J143"/>
      <c r="K143"/>
      <c r="L143"/>
      <c r="M143"/>
      <c r="N143"/>
      <c r="O143" s="9"/>
      <c r="P143"/>
    </row>
    <row r="144" spans="1:16" x14ac:dyDescent="0.35">
      <c r="A144" s="15"/>
      <c r="B144" s="15"/>
      <c r="C144"/>
      <c r="D144"/>
      <c r="E144"/>
      <c r="F144"/>
      <c r="G144"/>
      <c r="H144" s="9"/>
      <c r="I144"/>
      <c r="J144"/>
      <c r="K144"/>
      <c r="L144"/>
      <c r="M144"/>
      <c r="N144"/>
      <c r="O144" s="9"/>
      <c r="P144"/>
    </row>
    <row r="145" spans="1:16" x14ac:dyDescent="0.35">
      <c r="A145" s="15"/>
      <c r="B145" s="15"/>
      <c r="C145"/>
      <c r="D145"/>
      <c r="E145"/>
      <c r="F145"/>
      <c r="G145"/>
      <c r="H145" s="9"/>
      <c r="I145"/>
      <c r="J145"/>
      <c r="K145"/>
      <c r="L145"/>
      <c r="M145"/>
      <c r="N145"/>
      <c r="O145" s="9"/>
      <c r="P145"/>
    </row>
    <row r="146" spans="1:16" x14ac:dyDescent="0.35">
      <c r="A146" s="15"/>
      <c r="B146" s="15"/>
      <c r="C146"/>
      <c r="D146"/>
      <c r="E146"/>
      <c r="F146"/>
      <c r="G146"/>
      <c r="H146" s="9"/>
      <c r="I146"/>
      <c r="J146"/>
      <c r="K146"/>
      <c r="L146"/>
      <c r="M146"/>
      <c r="N146"/>
      <c r="O146" s="9"/>
      <c r="P146"/>
    </row>
    <row r="147" spans="1:16" x14ac:dyDescent="0.35">
      <c r="A147" s="15"/>
      <c r="B147" s="15"/>
      <c r="C147"/>
      <c r="D147"/>
      <c r="E147"/>
      <c r="F147"/>
      <c r="G147"/>
      <c r="H147" s="9"/>
      <c r="I147"/>
      <c r="J147"/>
      <c r="K147"/>
      <c r="L147"/>
      <c r="M147"/>
      <c r="N147"/>
      <c r="O147" s="9"/>
      <c r="P147"/>
    </row>
    <row r="148" spans="1:16" x14ac:dyDescent="0.35">
      <c r="A148" s="15"/>
      <c r="B148" s="15"/>
      <c r="C148"/>
      <c r="D148"/>
      <c r="E148"/>
      <c r="F148"/>
      <c r="G148"/>
      <c r="H148" s="9"/>
      <c r="I148"/>
      <c r="J148"/>
      <c r="K148"/>
      <c r="L148"/>
      <c r="M148"/>
      <c r="N148"/>
      <c r="O148" s="9"/>
      <c r="P148"/>
    </row>
    <row r="149" spans="1:16" x14ac:dyDescent="0.35">
      <c r="A149" s="15"/>
      <c r="B149" s="15"/>
      <c r="C149"/>
      <c r="D149"/>
      <c r="E149"/>
      <c r="F149"/>
      <c r="G149"/>
      <c r="H149" s="9"/>
      <c r="I149"/>
      <c r="J149"/>
      <c r="K149"/>
      <c r="L149"/>
      <c r="M149"/>
      <c r="N149"/>
      <c r="O149" s="9"/>
      <c r="P149"/>
    </row>
    <row r="150" spans="1:16" x14ac:dyDescent="0.35">
      <c r="A150" s="15"/>
      <c r="B150" s="15"/>
      <c r="C150"/>
      <c r="D150"/>
      <c r="E150"/>
      <c r="F150"/>
      <c r="G150"/>
      <c r="H150" s="9"/>
      <c r="I150"/>
      <c r="J150"/>
      <c r="K150"/>
      <c r="L150"/>
      <c r="M150"/>
      <c r="N150"/>
      <c r="O150" s="9"/>
      <c r="P150"/>
    </row>
    <row r="151" spans="1:16" x14ac:dyDescent="0.35">
      <c r="A151" s="15"/>
      <c r="B151" s="15"/>
      <c r="C151"/>
      <c r="D151"/>
      <c r="E151"/>
      <c r="F151"/>
      <c r="G151"/>
      <c r="H151" s="9"/>
      <c r="I151"/>
      <c r="J151"/>
      <c r="K151"/>
      <c r="L151"/>
      <c r="M151"/>
      <c r="N151"/>
      <c r="O151" s="9"/>
      <c r="P151"/>
    </row>
    <row r="152" spans="1:16" x14ac:dyDescent="0.35">
      <c r="A152" s="15"/>
      <c r="B152" s="15"/>
      <c r="C152"/>
      <c r="D152"/>
      <c r="E152"/>
      <c r="F152"/>
      <c r="G152"/>
      <c r="H152" s="9"/>
      <c r="I152"/>
      <c r="J152"/>
      <c r="K152"/>
      <c r="L152"/>
      <c r="M152"/>
      <c r="N152"/>
      <c r="O152" s="9"/>
      <c r="P152"/>
    </row>
    <row r="153" spans="1:16" x14ac:dyDescent="0.35">
      <c r="A153" s="15"/>
      <c r="B153" s="15"/>
      <c r="C153"/>
      <c r="D153"/>
      <c r="E153"/>
      <c r="F153"/>
      <c r="G153"/>
      <c r="H153" s="9"/>
      <c r="I153"/>
      <c r="J153"/>
      <c r="K153"/>
      <c r="L153"/>
      <c r="M153"/>
      <c r="N153"/>
      <c r="O153" s="9"/>
      <c r="P153"/>
    </row>
    <row r="154" spans="1:16" x14ac:dyDescent="0.35">
      <c r="A154" s="15"/>
      <c r="B154" s="15"/>
      <c r="C154"/>
      <c r="D154"/>
      <c r="E154"/>
      <c r="F154"/>
      <c r="G154"/>
      <c r="H154" s="9"/>
      <c r="I154"/>
      <c r="J154"/>
      <c r="K154"/>
      <c r="L154"/>
      <c r="M154"/>
      <c r="N154"/>
      <c r="O154" s="9"/>
      <c r="P154"/>
    </row>
    <row r="155" spans="1:16" x14ac:dyDescent="0.35">
      <c r="A155" s="15"/>
      <c r="B155" s="15"/>
      <c r="C155"/>
      <c r="D155"/>
      <c r="E155"/>
      <c r="F155"/>
      <c r="G155"/>
      <c r="H155" s="9"/>
      <c r="I155"/>
      <c r="J155"/>
      <c r="K155"/>
      <c r="L155"/>
      <c r="M155"/>
      <c r="N155"/>
      <c r="O155" s="9"/>
      <c r="P155"/>
    </row>
    <row r="156" spans="1:16" x14ac:dyDescent="0.35">
      <c r="A156" s="15"/>
      <c r="B156" s="15"/>
      <c r="C156"/>
      <c r="D156"/>
      <c r="E156"/>
      <c r="F156"/>
      <c r="G156"/>
      <c r="H156" s="9"/>
      <c r="I156"/>
      <c r="J156"/>
      <c r="K156"/>
      <c r="L156"/>
      <c r="M156"/>
      <c r="N156"/>
      <c r="O156" s="9"/>
      <c r="P156"/>
    </row>
    <row r="157" spans="1:16" x14ac:dyDescent="0.35">
      <c r="A157" s="15"/>
      <c r="B157" s="15"/>
      <c r="C157"/>
      <c r="D157"/>
      <c r="E157"/>
      <c r="F157"/>
      <c r="G157"/>
      <c r="H157" s="9"/>
      <c r="I157"/>
      <c r="J157"/>
      <c r="K157"/>
      <c r="L157"/>
      <c r="M157"/>
      <c r="N157"/>
      <c r="O157" s="9"/>
      <c r="P157"/>
    </row>
    <row r="158" spans="1:16" x14ac:dyDescent="0.35">
      <c r="A158" s="15"/>
      <c r="B158" s="15"/>
      <c r="C158"/>
      <c r="D158"/>
      <c r="E158"/>
      <c r="F158"/>
      <c r="G158"/>
      <c r="H158" s="9"/>
      <c r="I158"/>
      <c r="J158"/>
      <c r="K158"/>
      <c r="L158"/>
      <c r="M158"/>
      <c r="N158"/>
      <c r="O158" s="9"/>
      <c r="P158"/>
    </row>
    <row r="159" spans="1:16" x14ac:dyDescent="0.35">
      <c r="A159" s="15"/>
      <c r="B159" s="15"/>
      <c r="C159"/>
      <c r="D159"/>
      <c r="E159"/>
      <c r="F159"/>
      <c r="G159"/>
      <c r="H159" s="9"/>
      <c r="I159"/>
      <c r="J159"/>
      <c r="K159"/>
      <c r="L159"/>
      <c r="M159"/>
      <c r="N159"/>
      <c r="O159" s="9"/>
      <c r="P159"/>
    </row>
    <row r="160" spans="1:16" x14ac:dyDescent="0.35">
      <c r="A160" s="15"/>
      <c r="B160" s="15"/>
      <c r="C160"/>
      <c r="D160"/>
      <c r="E160"/>
      <c r="F160"/>
      <c r="G160"/>
      <c r="H160" s="9"/>
      <c r="I160"/>
      <c r="J160"/>
      <c r="K160"/>
      <c r="L160"/>
      <c r="M160"/>
      <c r="N160"/>
      <c r="O160" s="9"/>
      <c r="P160"/>
    </row>
    <row r="161" spans="1:16" x14ac:dyDescent="0.35">
      <c r="A161" s="15"/>
      <c r="B161" s="15"/>
      <c r="C161"/>
      <c r="D161"/>
      <c r="E161"/>
      <c r="F161"/>
      <c r="G161"/>
      <c r="H161" s="9"/>
      <c r="I161"/>
      <c r="J161"/>
      <c r="K161"/>
      <c r="L161"/>
      <c r="M161"/>
      <c r="N161"/>
      <c r="O161" s="9"/>
      <c r="P161"/>
    </row>
    <row r="162" spans="1:16" x14ac:dyDescent="0.35">
      <c r="A162" s="15"/>
      <c r="B162" s="15"/>
      <c r="C162"/>
      <c r="D162"/>
      <c r="E162"/>
      <c r="F162"/>
      <c r="G162"/>
      <c r="H162" s="9"/>
      <c r="I162"/>
      <c r="J162"/>
      <c r="K162"/>
      <c r="L162"/>
      <c r="M162"/>
      <c r="N162"/>
      <c r="O162" s="9"/>
      <c r="P162"/>
    </row>
    <row r="163" spans="1:16" x14ac:dyDescent="0.35">
      <c r="A163" s="15"/>
      <c r="B163" s="15"/>
      <c r="C163"/>
      <c r="D163"/>
      <c r="E163"/>
      <c r="F163"/>
      <c r="G163"/>
      <c r="H163" s="9"/>
      <c r="I163"/>
      <c r="J163"/>
      <c r="K163"/>
      <c r="L163"/>
      <c r="M163"/>
      <c r="N163"/>
      <c r="O163" s="9"/>
      <c r="P163"/>
    </row>
    <row r="164" spans="1:16" x14ac:dyDescent="0.35">
      <c r="A164" s="15"/>
      <c r="B164" s="15"/>
      <c r="C164"/>
      <c r="D164"/>
      <c r="E164"/>
      <c r="F164"/>
      <c r="G164"/>
      <c r="H164" s="9"/>
      <c r="I164"/>
      <c r="J164"/>
      <c r="K164"/>
      <c r="L164"/>
      <c r="M164"/>
      <c r="N164"/>
      <c r="O164" s="9"/>
      <c r="P164"/>
    </row>
    <row r="165" spans="1:16" x14ac:dyDescent="0.35">
      <c r="A165" s="15"/>
      <c r="B165" s="15"/>
      <c r="C165"/>
      <c r="D165"/>
      <c r="E165"/>
      <c r="F165"/>
      <c r="G165"/>
      <c r="H165" s="9"/>
      <c r="I165"/>
      <c r="J165"/>
      <c r="K165"/>
      <c r="L165"/>
      <c r="M165"/>
      <c r="N165"/>
      <c r="O165" s="9"/>
      <c r="P165"/>
    </row>
    <row r="166" spans="1:16" x14ac:dyDescent="0.35">
      <c r="A166" s="15"/>
      <c r="B166" s="15"/>
      <c r="C166"/>
      <c r="D166"/>
      <c r="E166"/>
      <c r="F166"/>
      <c r="G166"/>
      <c r="H166" s="9"/>
      <c r="I166"/>
      <c r="J166"/>
      <c r="K166"/>
      <c r="L166"/>
      <c r="M166"/>
      <c r="N166"/>
      <c r="O166" s="9"/>
      <c r="P166"/>
    </row>
    <row r="167" spans="1:16" x14ac:dyDescent="0.35">
      <c r="A167" s="15"/>
      <c r="B167" s="15"/>
      <c r="C167"/>
      <c r="D167"/>
      <c r="E167"/>
      <c r="F167"/>
      <c r="G167"/>
      <c r="H167" s="9"/>
      <c r="I167"/>
      <c r="J167"/>
      <c r="K167"/>
      <c r="L167"/>
      <c r="M167"/>
      <c r="N167"/>
      <c r="O167" s="9"/>
      <c r="P167"/>
    </row>
    <row r="168" spans="1:16" x14ac:dyDescent="0.35">
      <c r="A168" s="15"/>
      <c r="B168" s="15"/>
      <c r="C168"/>
      <c r="D168"/>
      <c r="E168"/>
      <c r="F168"/>
      <c r="G168"/>
      <c r="H168" s="9"/>
      <c r="I168"/>
      <c r="J168"/>
      <c r="K168"/>
      <c r="L168"/>
      <c r="M168"/>
      <c r="N168"/>
      <c r="O168" s="9"/>
      <c r="P168"/>
    </row>
    <row r="169" spans="1:16" x14ac:dyDescent="0.35">
      <c r="A169" s="15"/>
      <c r="B169" s="15"/>
      <c r="C169"/>
      <c r="D169"/>
      <c r="E169"/>
      <c r="F169"/>
      <c r="G169"/>
      <c r="H169" s="9"/>
      <c r="I169"/>
      <c r="J169"/>
      <c r="K169"/>
      <c r="L169"/>
      <c r="M169"/>
      <c r="N169"/>
      <c r="O169" s="9"/>
      <c r="P169"/>
    </row>
    <row r="170" spans="1:16" x14ac:dyDescent="0.35">
      <c r="A170" s="15"/>
      <c r="B170" s="15"/>
      <c r="C170"/>
      <c r="D170"/>
      <c r="E170"/>
      <c r="F170"/>
      <c r="G170"/>
      <c r="H170" s="9"/>
      <c r="I170"/>
      <c r="J170"/>
      <c r="K170"/>
      <c r="L170"/>
      <c r="M170"/>
      <c r="N170"/>
      <c r="O170" s="9"/>
      <c r="P170"/>
    </row>
    <row r="171" spans="1:16" x14ac:dyDescent="0.35">
      <c r="A171" s="15"/>
      <c r="B171" s="15"/>
      <c r="C171"/>
      <c r="D171"/>
      <c r="E171"/>
      <c r="F171"/>
      <c r="G171"/>
      <c r="H171" s="9"/>
      <c r="I171"/>
      <c r="J171"/>
      <c r="K171"/>
      <c r="L171"/>
      <c r="M171"/>
      <c r="N171"/>
      <c r="O171" s="9"/>
      <c r="P171"/>
    </row>
    <row r="172" spans="1:16" x14ac:dyDescent="0.35">
      <c r="A172" s="15"/>
      <c r="B172" s="15"/>
      <c r="C172"/>
      <c r="D172"/>
      <c r="E172"/>
      <c r="F172"/>
      <c r="G172"/>
      <c r="H172" s="9"/>
      <c r="I172"/>
      <c r="J172"/>
      <c r="K172"/>
      <c r="L172"/>
      <c r="M172"/>
      <c r="N172"/>
      <c r="O172" s="9"/>
      <c r="P172"/>
    </row>
    <row r="173" spans="1:16" x14ac:dyDescent="0.35">
      <c r="A173" s="15"/>
      <c r="B173" s="15"/>
      <c r="C173"/>
      <c r="D173"/>
      <c r="E173"/>
      <c r="F173"/>
      <c r="G173"/>
      <c r="H173" s="9"/>
      <c r="I173"/>
      <c r="J173"/>
      <c r="K173"/>
      <c r="L173"/>
      <c r="M173"/>
      <c r="N173"/>
      <c r="O173" s="9"/>
      <c r="P173"/>
    </row>
    <row r="174" spans="1:16" x14ac:dyDescent="0.35">
      <c r="A174" s="15"/>
      <c r="B174" s="15"/>
      <c r="C174"/>
      <c r="D174"/>
      <c r="E174"/>
      <c r="F174"/>
      <c r="G174"/>
      <c r="H174" s="9"/>
      <c r="I174"/>
      <c r="J174"/>
      <c r="K174"/>
      <c r="L174"/>
      <c r="M174"/>
      <c r="N174"/>
      <c r="O174" s="9"/>
      <c r="P174"/>
    </row>
    <row r="175" spans="1:16" x14ac:dyDescent="0.35">
      <c r="A175" s="15"/>
      <c r="B175" s="15"/>
      <c r="C175"/>
      <c r="D175"/>
      <c r="E175"/>
      <c r="F175"/>
      <c r="G175"/>
      <c r="H175" s="9"/>
      <c r="I175"/>
      <c r="J175"/>
      <c r="K175"/>
      <c r="L175"/>
      <c r="M175"/>
      <c r="N175"/>
      <c r="O175" s="9"/>
      <c r="P175"/>
    </row>
    <row r="176" spans="1:16" x14ac:dyDescent="0.35">
      <c r="A176" s="15"/>
      <c r="B176" s="15"/>
      <c r="C176"/>
      <c r="D176"/>
      <c r="E176"/>
      <c r="F176"/>
      <c r="G176"/>
      <c r="H176" s="9"/>
      <c r="I176"/>
      <c r="J176"/>
      <c r="K176"/>
      <c r="L176"/>
      <c r="M176"/>
      <c r="N176"/>
      <c r="O176" s="9"/>
      <c r="P176"/>
    </row>
    <row r="177" spans="1:16" x14ac:dyDescent="0.35">
      <c r="A177" s="15"/>
      <c r="B177" s="15"/>
      <c r="C177"/>
      <c r="D177"/>
      <c r="E177"/>
      <c r="F177"/>
      <c r="G177"/>
      <c r="H177" s="9"/>
      <c r="I177"/>
      <c r="J177"/>
      <c r="K177"/>
      <c r="L177"/>
      <c r="M177"/>
      <c r="N177"/>
      <c r="O177" s="9"/>
      <c r="P177"/>
    </row>
    <row r="178" spans="1:16" x14ac:dyDescent="0.35">
      <c r="A178" s="15"/>
      <c r="B178" s="15"/>
      <c r="C178"/>
      <c r="D178"/>
      <c r="E178"/>
      <c r="F178"/>
      <c r="G178"/>
      <c r="H178" s="9"/>
      <c r="I178"/>
      <c r="J178"/>
      <c r="K178"/>
      <c r="L178"/>
      <c r="M178"/>
      <c r="N178"/>
      <c r="O178" s="9"/>
      <c r="P178"/>
    </row>
    <row r="179" spans="1:16" x14ac:dyDescent="0.35">
      <c r="A179" s="15"/>
      <c r="B179" s="15"/>
      <c r="C179"/>
      <c r="D179"/>
      <c r="E179"/>
      <c r="F179"/>
      <c r="G179"/>
      <c r="H179" s="9"/>
      <c r="I179"/>
      <c r="J179"/>
      <c r="K179"/>
      <c r="L179"/>
      <c r="M179"/>
      <c r="N179"/>
      <c r="O179" s="9"/>
      <c r="P179"/>
    </row>
    <row r="180" spans="1:16" x14ac:dyDescent="0.35">
      <c r="A180" s="15"/>
      <c r="B180" s="15"/>
      <c r="C180"/>
      <c r="D180"/>
      <c r="E180"/>
      <c r="F180"/>
      <c r="G180"/>
      <c r="H180" s="9"/>
      <c r="I180"/>
      <c r="J180"/>
      <c r="K180"/>
      <c r="L180"/>
      <c r="M180"/>
      <c r="N180"/>
      <c r="O180" s="9"/>
      <c r="P180"/>
    </row>
    <row r="181" spans="1:16" x14ac:dyDescent="0.35">
      <c r="A181" s="15"/>
      <c r="B181" s="15"/>
      <c r="C181"/>
      <c r="D181"/>
      <c r="E181"/>
      <c r="F181"/>
      <c r="G181"/>
      <c r="H181" s="9"/>
      <c r="I181"/>
      <c r="J181"/>
      <c r="K181"/>
      <c r="L181"/>
      <c r="M181"/>
      <c r="N181"/>
      <c r="O181" s="9"/>
      <c r="P181"/>
    </row>
    <row r="182" spans="1:16" x14ac:dyDescent="0.35">
      <c r="A182" s="15"/>
      <c r="B182" s="15"/>
      <c r="C182"/>
      <c r="D182"/>
      <c r="E182"/>
      <c r="F182"/>
      <c r="G182"/>
      <c r="H182" s="9"/>
      <c r="I182"/>
      <c r="J182"/>
      <c r="K182"/>
      <c r="L182"/>
      <c r="M182"/>
      <c r="N182"/>
      <c r="O182" s="9"/>
      <c r="P182"/>
    </row>
    <row r="183" spans="1:16" x14ac:dyDescent="0.35">
      <c r="A183" s="15"/>
      <c r="B183" s="15"/>
      <c r="C183"/>
      <c r="D183"/>
      <c r="E183"/>
      <c r="F183"/>
      <c r="G183"/>
      <c r="H183" s="9"/>
      <c r="I183"/>
      <c r="J183"/>
      <c r="K183"/>
      <c r="L183"/>
      <c r="M183"/>
      <c r="N183"/>
      <c r="O183" s="9"/>
      <c r="P183"/>
    </row>
    <row r="184" spans="1:16" x14ac:dyDescent="0.35">
      <c r="A184" s="15"/>
      <c r="B184" s="15"/>
      <c r="C184"/>
      <c r="D184"/>
      <c r="E184"/>
      <c r="F184"/>
      <c r="G184"/>
      <c r="H184" s="9"/>
      <c r="I184"/>
      <c r="J184"/>
      <c r="K184"/>
      <c r="L184"/>
      <c r="M184"/>
      <c r="N184"/>
      <c r="O184" s="9"/>
      <c r="P184"/>
    </row>
    <row r="185" spans="1:16" x14ac:dyDescent="0.35">
      <c r="A185" s="15"/>
      <c r="B185" s="15"/>
      <c r="C185"/>
      <c r="D185"/>
      <c r="E185"/>
      <c r="F185"/>
      <c r="G185"/>
      <c r="H185" s="9"/>
      <c r="I185"/>
      <c r="J185"/>
      <c r="K185"/>
      <c r="L185"/>
      <c r="M185"/>
      <c r="N185"/>
      <c r="O185" s="9"/>
      <c r="P185"/>
    </row>
    <row r="186" spans="1:16" x14ac:dyDescent="0.35">
      <c r="A186" s="15"/>
      <c r="B186" s="15"/>
      <c r="C186"/>
      <c r="D186"/>
      <c r="E186"/>
      <c r="F186"/>
      <c r="G186"/>
      <c r="H186" s="9"/>
      <c r="I186"/>
      <c r="J186"/>
      <c r="K186"/>
      <c r="L186"/>
      <c r="M186"/>
      <c r="N186"/>
      <c r="O186" s="9"/>
      <c r="P186"/>
    </row>
    <row r="187" spans="1:16" x14ac:dyDescent="0.35">
      <c r="A187" s="15"/>
      <c r="B187" s="15"/>
      <c r="C187"/>
      <c r="D187"/>
      <c r="E187"/>
      <c r="F187"/>
      <c r="G187"/>
      <c r="H187" s="9"/>
      <c r="I187"/>
      <c r="J187"/>
      <c r="K187"/>
      <c r="L187"/>
      <c r="M187"/>
      <c r="N187"/>
      <c r="O187" s="9"/>
      <c r="P187"/>
    </row>
    <row r="188" spans="1:16" x14ac:dyDescent="0.35">
      <c r="A188" s="15"/>
      <c r="B188" s="15"/>
      <c r="C188"/>
      <c r="D188"/>
      <c r="E188"/>
      <c r="F188"/>
      <c r="G188"/>
      <c r="H188" s="9"/>
      <c r="I188"/>
      <c r="J188"/>
      <c r="K188"/>
      <c r="L188"/>
      <c r="M188"/>
      <c r="N188"/>
      <c r="O188" s="9"/>
      <c r="P188"/>
    </row>
    <row r="189" spans="1:16" x14ac:dyDescent="0.35">
      <c r="A189" s="15"/>
      <c r="B189" s="15"/>
      <c r="C189"/>
      <c r="D189"/>
      <c r="E189"/>
      <c r="F189"/>
      <c r="G189"/>
      <c r="H189" s="9"/>
      <c r="I189"/>
      <c r="J189"/>
      <c r="K189"/>
      <c r="L189"/>
      <c r="M189"/>
      <c r="N189"/>
      <c r="O189" s="9"/>
      <c r="P189"/>
    </row>
    <row r="190" spans="1:16" x14ac:dyDescent="0.35">
      <c r="A190" s="15"/>
      <c r="B190" s="15"/>
      <c r="C190"/>
      <c r="D190"/>
      <c r="E190"/>
      <c r="F190"/>
      <c r="G190"/>
      <c r="H190" s="9"/>
      <c r="I190"/>
      <c r="J190"/>
      <c r="K190"/>
      <c r="L190"/>
      <c r="M190"/>
      <c r="N190"/>
      <c r="O190" s="9"/>
      <c r="P190"/>
    </row>
    <row r="191" spans="1:16" x14ac:dyDescent="0.35">
      <c r="A191" s="15"/>
      <c r="B191" s="15"/>
      <c r="C191"/>
      <c r="D191"/>
      <c r="E191"/>
      <c r="F191"/>
      <c r="G191"/>
      <c r="H191" s="9"/>
      <c r="I191"/>
      <c r="J191"/>
      <c r="K191"/>
      <c r="L191"/>
      <c r="M191"/>
      <c r="N191"/>
      <c r="O191" s="9"/>
      <c r="P191"/>
    </row>
    <row r="192" spans="1:16" x14ac:dyDescent="0.35">
      <c r="A192" s="15"/>
      <c r="B192" s="15"/>
      <c r="C192"/>
      <c r="D192"/>
      <c r="E192"/>
      <c r="F192"/>
      <c r="G192"/>
      <c r="H192" s="9"/>
      <c r="I192"/>
      <c r="J192"/>
      <c r="K192"/>
      <c r="L192"/>
      <c r="M192"/>
      <c r="N192"/>
      <c r="O192" s="9"/>
      <c r="P192"/>
    </row>
    <row r="193" spans="1:16" x14ac:dyDescent="0.35">
      <c r="A193" s="15"/>
      <c r="B193" s="15"/>
      <c r="C193"/>
      <c r="D193"/>
      <c r="E193"/>
      <c r="F193"/>
      <c r="G193"/>
      <c r="H193" s="9"/>
      <c r="I193"/>
      <c r="J193"/>
      <c r="K193"/>
      <c r="L193"/>
      <c r="M193"/>
      <c r="N193"/>
      <c r="O193" s="9"/>
      <c r="P193"/>
    </row>
    <row r="194" spans="1:16" x14ac:dyDescent="0.35">
      <c r="A194" s="15"/>
      <c r="B194" s="15"/>
      <c r="C194"/>
      <c r="D194"/>
      <c r="E194"/>
      <c r="F194"/>
      <c r="G194"/>
      <c r="H194" s="9"/>
      <c r="I194"/>
      <c r="J194"/>
      <c r="K194"/>
      <c r="L194"/>
      <c r="M194"/>
      <c r="N194"/>
      <c r="O194" s="9"/>
      <c r="P194"/>
    </row>
    <row r="195" spans="1:16" x14ac:dyDescent="0.35">
      <c r="A195" s="15"/>
      <c r="B195" s="15"/>
      <c r="C195"/>
      <c r="D195"/>
      <c r="E195"/>
      <c r="F195"/>
      <c r="G195"/>
      <c r="H195" s="9"/>
      <c r="I195"/>
      <c r="J195"/>
      <c r="K195"/>
      <c r="L195"/>
      <c r="M195"/>
      <c r="N195"/>
      <c r="O195" s="9"/>
      <c r="P195"/>
    </row>
    <row r="196" spans="1:16" x14ac:dyDescent="0.35">
      <c r="A196" s="15"/>
      <c r="B196" s="15"/>
      <c r="C196"/>
      <c r="D196"/>
      <c r="E196"/>
      <c r="F196"/>
      <c r="G196"/>
      <c r="H196" s="9"/>
      <c r="I196"/>
      <c r="J196"/>
      <c r="K196"/>
      <c r="L196"/>
      <c r="M196"/>
      <c r="N196"/>
      <c r="O196" s="9"/>
      <c r="P196"/>
    </row>
    <row r="197" spans="1:16" x14ac:dyDescent="0.35">
      <c r="A197" s="15"/>
      <c r="B197" s="15"/>
      <c r="C197"/>
      <c r="D197"/>
      <c r="E197"/>
      <c r="F197"/>
      <c r="G197"/>
      <c r="H197" s="9"/>
      <c r="I197"/>
      <c r="J197"/>
      <c r="K197"/>
      <c r="L197"/>
      <c r="M197"/>
      <c r="N197"/>
      <c r="O197" s="9"/>
      <c r="P197"/>
    </row>
    <row r="198" spans="1:16" x14ac:dyDescent="0.35">
      <c r="A198" s="15"/>
      <c r="B198" s="15"/>
      <c r="C198"/>
      <c r="D198"/>
      <c r="E198"/>
      <c r="F198"/>
      <c r="G198"/>
      <c r="H198" s="9"/>
      <c r="I198"/>
      <c r="J198"/>
      <c r="K198"/>
      <c r="L198"/>
      <c r="M198"/>
      <c r="N198"/>
      <c r="O198" s="9"/>
      <c r="P198"/>
    </row>
    <row r="199" spans="1:16" x14ac:dyDescent="0.35">
      <c r="A199" s="15"/>
      <c r="B199" s="15"/>
      <c r="C199"/>
      <c r="D199"/>
      <c r="E199"/>
      <c r="F199"/>
      <c r="G199"/>
      <c r="H199" s="9"/>
      <c r="I199"/>
      <c r="J199"/>
      <c r="K199"/>
      <c r="L199"/>
      <c r="M199"/>
      <c r="N199"/>
      <c r="O199" s="9"/>
      <c r="P199"/>
    </row>
    <row r="200" spans="1:16" x14ac:dyDescent="0.35">
      <c r="A200" s="15"/>
      <c r="B200" s="15"/>
      <c r="C200"/>
      <c r="D200"/>
      <c r="E200"/>
      <c r="F200"/>
      <c r="G200"/>
      <c r="H200" s="9"/>
      <c r="I200"/>
      <c r="J200"/>
      <c r="K200"/>
      <c r="L200"/>
      <c r="M200"/>
      <c r="N200"/>
      <c r="O200" s="9"/>
      <c r="P200"/>
    </row>
    <row r="201" spans="1:16" x14ac:dyDescent="0.35">
      <c r="A201" s="15"/>
      <c r="B201" s="15"/>
      <c r="C201"/>
      <c r="D201"/>
      <c r="E201"/>
      <c r="F201"/>
      <c r="G201"/>
      <c r="H201" s="9"/>
      <c r="I201"/>
      <c r="J201"/>
      <c r="K201"/>
      <c r="L201"/>
      <c r="M201"/>
      <c r="N201"/>
      <c r="O201" s="9"/>
      <c r="P201"/>
    </row>
    <row r="202" spans="1:16" x14ac:dyDescent="0.35">
      <c r="A202" s="15"/>
      <c r="B202" s="15"/>
      <c r="C202"/>
      <c r="D202"/>
      <c r="E202"/>
      <c r="F202"/>
      <c r="G202"/>
      <c r="H202" s="9"/>
      <c r="I202"/>
      <c r="J202"/>
      <c r="K202"/>
      <c r="L202"/>
      <c r="M202"/>
      <c r="N202"/>
      <c r="O202" s="9"/>
      <c r="P202"/>
    </row>
    <row r="203" spans="1:16" x14ac:dyDescent="0.35">
      <c r="A203" s="15"/>
      <c r="B203" s="15"/>
      <c r="C203"/>
      <c r="D203"/>
      <c r="E203"/>
      <c r="F203"/>
      <c r="G203"/>
      <c r="H203" s="9"/>
      <c r="I203"/>
      <c r="J203"/>
      <c r="K203"/>
      <c r="L203"/>
      <c r="M203"/>
      <c r="N203"/>
      <c r="O203" s="9"/>
      <c r="P203"/>
    </row>
    <row r="204" spans="1:16" x14ac:dyDescent="0.35">
      <c r="A204" s="15"/>
      <c r="B204" s="15"/>
      <c r="C204"/>
      <c r="D204"/>
      <c r="E204"/>
      <c r="F204"/>
      <c r="G204"/>
      <c r="H204" s="9"/>
      <c r="I204"/>
      <c r="J204"/>
      <c r="K204"/>
      <c r="L204"/>
      <c r="M204"/>
      <c r="N204"/>
      <c r="O204" s="9"/>
      <c r="P204"/>
    </row>
    <row r="205" spans="1:16" x14ac:dyDescent="0.35">
      <c r="A205" s="15"/>
      <c r="B205" s="15"/>
      <c r="C205"/>
      <c r="D205"/>
      <c r="E205"/>
      <c r="F205"/>
      <c r="G205"/>
      <c r="H205" s="9"/>
      <c r="I205"/>
      <c r="J205"/>
      <c r="K205"/>
      <c r="L205"/>
      <c r="M205"/>
      <c r="N205"/>
      <c r="O205" s="9"/>
      <c r="P205"/>
    </row>
    <row r="206" spans="1:16" x14ac:dyDescent="0.35">
      <c r="A206" s="15"/>
      <c r="B206" s="15"/>
      <c r="C206"/>
      <c r="D206"/>
      <c r="E206"/>
      <c r="F206"/>
      <c r="G206"/>
      <c r="H206" s="9"/>
      <c r="I206"/>
      <c r="J206"/>
      <c r="K206"/>
      <c r="L206"/>
      <c r="M206"/>
      <c r="N206"/>
      <c r="O206" s="9"/>
      <c r="P206"/>
    </row>
    <row r="207" spans="1:16" x14ac:dyDescent="0.35">
      <c r="A207" s="15"/>
      <c r="B207" s="15"/>
      <c r="C207"/>
      <c r="D207"/>
      <c r="E207"/>
      <c r="F207"/>
      <c r="G207"/>
      <c r="H207" s="9"/>
      <c r="I207"/>
      <c r="J207"/>
      <c r="K207"/>
      <c r="L207"/>
      <c r="M207"/>
      <c r="N207"/>
      <c r="O207" s="9"/>
      <c r="P207"/>
    </row>
    <row r="208" spans="1:16" x14ac:dyDescent="0.35">
      <c r="A208" s="15"/>
      <c r="B208" s="15"/>
      <c r="C208"/>
      <c r="D208"/>
      <c r="E208"/>
      <c r="F208"/>
      <c r="G208"/>
      <c r="H208" s="9"/>
      <c r="I208"/>
      <c r="J208"/>
      <c r="K208"/>
      <c r="L208"/>
      <c r="M208"/>
      <c r="N208"/>
      <c r="O208" s="9"/>
      <c r="P208"/>
    </row>
    <row r="209" spans="1:16" x14ac:dyDescent="0.35">
      <c r="A209" s="15"/>
      <c r="B209" s="15"/>
      <c r="C209"/>
      <c r="D209"/>
      <c r="E209"/>
      <c r="F209"/>
      <c r="G209"/>
      <c r="H209" s="9"/>
      <c r="I209"/>
      <c r="J209"/>
      <c r="K209"/>
      <c r="L209"/>
      <c r="M209"/>
      <c r="N209"/>
      <c r="O209" s="9"/>
      <c r="P209"/>
    </row>
    <row r="210" spans="1:16" x14ac:dyDescent="0.35">
      <c r="A210" s="15"/>
      <c r="B210" s="15"/>
      <c r="C210"/>
      <c r="D210"/>
      <c r="E210"/>
      <c r="F210"/>
      <c r="G210"/>
      <c r="H210" s="9"/>
      <c r="I210"/>
      <c r="J210"/>
      <c r="K210"/>
      <c r="L210"/>
      <c r="M210"/>
      <c r="N210"/>
      <c r="O210" s="9"/>
      <c r="P210"/>
    </row>
    <row r="211" spans="1:16" x14ac:dyDescent="0.35">
      <c r="A211" s="15"/>
      <c r="B211" s="15"/>
      <c r="C211"/>
      <c r="D211"/>
      <c r="E211"/>
      <c r="F211"/>
      <c r="G211"/>
      <c r="H211" s="9"/>
      <c r="I211"/>
      <c r="J211"/>
      <c r="K211"/>
      <c r="L211"/>
      <c r="M211"/>
      <c r="N211"/>
      <c r="O211" s="9"/>
      <c r="P211"/>
    </row>
    <row r="212" spans="1:16" x14ac:dyDescent="0.35">
      <c r="A212" s="15"/>
      <c r="B212" s="15"/>
      <c r="C212"/>
      <c r="D212"/>
      <c r="E212"/>
      <c r="F212"/>
      <c r="G212"/>
      <c r="H212" s="9"/>
      <c r="I212"/>
      <c r="J212"/>
      <c r="K212"/>
      <c r="L212"/>
      <c r="M212"/>
      <c r="N212"/>
      <c r="O212" s="9"/>
      <c r="P212"/>
    </row>
    <row r="213" spans="1:16" x14ac:dyDescent="0.35">
      <c r="A213" s="15"/>
      <c r="B213" s="15"/>
      <c r="C213"/>
      <c r="D213"/>
      <c r="E213"/>
      <c r="F213"/>
      <c r="G213"/>
      <c r="H213" s="9"/>
      <c r="I213"/>
      <c r="J213"/>
      <c r="K213"/>
      <c r="L213"/>
      <c r="M213"/>
      <c r="N213"/>
      <c r="O213" s="9"/>
      <c r="P213"/>
    </row>
    <row r="214" spans="1:16" x14ac:dyDescent="0.35">
      <c r="A214" s="15"/>
      <c r="B214" s="15"/>
      <c r="C214"/>
      <c r="D214"/>
      <c r="E214"/>
      <c r="F214"/>
      <c r="G214"/>
      <c r="H214" s="9"/>
      <c r="I214"/>
      <c r="J214"/>
      <c r="K214"/>
      <c r="L214"/>
      <c r="M214"/>
      <c r="N214"/>
      <c r="O214" s="9"/>
      <c r="P214"/>
    </row>
    <row r="215" spans="1:16" x14ac:dyDescent="0.35">
      <c r="A215" s="15"/>
      <c r="B215" s="15"/>
      <c r="C215"/>
      <c r="D215"/>
      <c r="E215"/>
      <c r="F215"/>
      <c r="G215"/>
      <c r="H215" s="9"/>
      <c r="I215"/>
      <c r="J215"/>
      <c r="K215"/>
      <c r="L215"/>
      <c r="M215"/>
      <c r="N215"/>
      <c r="O215" s="9"/>
      <c r="P215"/>
    </row>
    <row r="216" spans="1:16" x14ac:dyDescent="0.35">
      <c r="A216" s="15"/>
      <c r="B216" s="15"/>
      <c r="C216"/>
      <c r="D216"/>
      <c r="E216"/>
      <c r="F216"/>
      <c r="G216"/>
      <c r="H216" s="9"/>
      <c r="I216"/>
      <c r="J216"/>
      <c r="K216"/>
      <c r="L216"/>
      <c r="M216"/>
      <c r="N216"/>
      <c r="O216" s="9"/>
      <c r="P216"/>
    </row>
    <row r="217" spans="1:16" x14ac:dyDescent="0.35">
      <c r="A217" s="15"/>
      <c r="B217" s="15"/>
      <c r="C217"/>
      <c r="D217"/>
      <c r="E217"/>
      <c r="F217"/>
      <c r="G217"/>
      <c r="H217" s="9"/>
      <c r="I217"/>
      <c r="J217"/>
      <c r="K217"/>
      <c r="L217"/>
      <c r="M217"/>
      <c r="N217"/>
      <c r="O217" s="9"/>
      <c r="P217"/>
    </row>
    <row r="218" spans="1:16" x14ac:dyDescent="0.35">
      <c r="A218" s="15"/>
      <c r="B218" s="15"/>
      <c r="C218"/>
      <c r="D218"/>
      <c r="E218"/>
      <c r="F218"/>
      <c r="G218"/>
      <c r="H218" s="9"/>
      <c r="I218"/>
      <c r="J218"/>
      <c r="K218"/>
      <c r="L218"/>
      <c r="M218"/>
      <c r="N218"/>
      <c r="O218" s="9"/>
      <c r="P218"/>
    </row>
    <row r="219" spans="1:16" x14ac:dyDescent="0.35">
      <c r="A219" s="15"/>
      <c r="B219" s="15"/>
      <c r="C219"/>
      <c r="D219"/>
      <c r="E219"/>
      <c r="F219"/>
      <c r="G219"/>
      <c r="H219" s="9"/>
      <c r="I219"/>
      <c r="J219"/>
      <c r="K219"/>
      <c r="L219"/>
      <c r="M219"/>
      <c r="N219"/>
      <c r="O219" s="9"/>
      <c r="P219"/>
    </row>
    <row r="220" spans="1:16" x14ac:dyDescent="0.35">
      <c r="A220" s="15"/>
      <c r="B220" s="15"/>
      <c r="C220"/>
      <c r="D220"/>
      <c r="E220"/>
      <c r="F220"/>
      <c r="G220"/>
      <c r="H220" s="9"/>
      <c r="I220"/>
      <c r="J220"/>
      <c r="K220"/>
      <c r="L220"/>
      <c r="M220"/>
      <c r="N220"/>
      <c r="O220" s="9"/>
      <c r="P220"/>
    </row>
    <row r="221" spans="1:16" x14ac:dyDescent="0.35">
      <c r="A221" s="15"/>
      <c r="B221" s="15"/>
      <c r="C221"/>
      <c r="D221"/>
      <c r="E221"/>
      <c r="F221"/>
      <c r="G221"/>
      <c r="H221" s="9"/>
      <c r="I221"/>
      <c r="J221"/>
      <c r="K221"/>
      <c r="L221"/>
      <c r="M221"/>
      <c r="N221"/>
      <c r="O221" s="9"/>
      <c r="P221"/>
    </row>
    <row r="222" spans="1:16" x14ac:dyDescent="0.35">
      <c r="A222" s="15"/>
      <c r="B222" s="15"/>
      <c r="C222"/>
      <c r="D222"/>
      <c r="E222"/>
      <c r="F222"/>
      <c r="G222"/>
      <c r="H222" s="9"/>
      <c r="I222"/>
      <c r="J222"/>
      <c r="K222"/>
      <c r="L222"/>
      <c r="M222"/>
      <c r="N222"/>
      <c r="O222" s="9"/>
      <c r="P222"/>
    </row>
    <row r="223" spans="1:16" x14ac:dyDescent="0.35">
      <c r="A223" s="15"/>
      <c r="B223" s="15"/>
      <c r="C223"/>
      <c r="D223"/>
      <c r="E223"/>
      <c r="F223"/>
      <c r="G223"/>
      <c r="H223" s="9"/>
      <c r="I223"/>
      <c r="J223"/>
      <c r="K223"/>
      <c r="L223"/>
      <c r="M223"/>
      <c r="N223"/>
      <c r="O223" s="9"/>
      <c r="P223"/>
    </row>
    <row r="224" spans="1:16" x14ac:dyDescent="0.35">
      <c r="A224" s="15"/>
      <c r="B224" s="15"/>
      <c r="C224"/>
      <c r="D224"/>
      <c r="E224"/>
      <c r="F224"/>
      <c r="G224"/>
      <c r="H224" s="9"/>
      <c r="I224"/>
      <c r="J224"/>
      <c r="K224"/>
      <c r="L224"/>
      <c r="M224"/>
      <c r="N224"/>
      <c r="O224" s="9"/>
      <c r="P224"/>
    </row>
    <row r="225" spans="1:16" x14ac:dyDescent="0.35">
      <c r="A225" s="15"/>
      <c r="B225" s="15"/>
      <c r="C225"/>
      <c r="D225"/>
      <c r="E225"/>
      <c r="F225"/>
      <c r="G225"/>
      <c r="H225" s="9"/>
      <c r="I225"/>
      <c r="J225"/>
      <c r="K225"/>
      <c r="L225"/>
      <c r="M225"/>
      <c r="N225"/>
      <c r="O225" s="9"/>
      <c r="P225"/>
    </row>
    <row r="226" spans="1:16" x14ac:dyDescent="0.35">
      <c r="A226" s="15"/>
      <c r="B226" s="15"/>
      <c r="C226"/>
      <c r="D226"/>
      <c r="E226"/>
      <c r="F226"/>
      <c r="G226"/>
      <c r="H226" s="9"/>
      <c r="I226"/>
      <c r="J226"/>
      <c r="K226"/>
      <c r="L226"/>
      <c r="M226"/>
      <c r="N226"/>
      <c r="O226" s="9"/>
      <c r="P226"/>
    </row>
    <row r="227" spans="1:16" x14ac:dyDescent="0.35">
      <c r="A227" s="15"/>
      <c r="B227" s="15"/>
      <c r="C227"/>
      <c r="D227"/>
      <c r="E227"/>
      <c r="F227"/>
      <c r="G227"/>
      <c r="H227" s="9"/>
      <c r="I227"/>
      <c r="J227"/>
      <c r="K227"/>
      <c r="L227"/>
      <c r="M227"/>
      <c r="N227"/>
      <c r="O227" s="9"/>
      <c r="P227"/>
    </row>
    <row r="228" spans="1:16" x14ac:dyDescent="0.35">
      <c r="A228" s="15"/>
      <c r="B228" s="15"/>
      <c r="C228"/>
      <c r="D228"/>
      <c r="E228"/>
      <c r="F228"/>
      <c r="G228"/>
      <c r="H228" s="9"/>
      <c r="I228"/>
      <c r="J228"/>
      <c r="K228"/>
      <c r="L228"/>
      <c r="M228"/>
      <c r="N228"/>
      <c r="O228" s="9"/>
      <c r="P228"/>
    </row>
    <row r="229" spans="1:16" x14ac:dyDescent="0.35">
      <c r="A229" s="15"/>
      <c r="B229" s="15"/>
      <c r="C229"/>
      <c r="D229"/>
      <c r="E229"/>
      <c r="F229"/>
      <c r="G229"/>
      <c r="H229" s="9"/>
      <c r="I229"/>
      <c r="J229"/>
      <c r="K229"/>
      <c r="L229"/>
      <c r="M229"/>
      <c r="N229"/>
      <c r="O229" s="9"/>
      <c r="P229"/>
    </row>
    <row r="230" spans="1:16" x14ac:dyDescent="0.35">
      <c r="A230" s="15"/>
      <c r="B230" s="15"/>
      <c r="C230"/>
      <c r="D230"/>
      <c r="E230"/>
      <c r="F230"/>
      <c r="G230"/>
      <c r="H230" s="9"/>
      <c r="I230"/>
      <c r="J230"/>
      <c r="K230"/>
      <c r="L230"/>
      <c r="M230"/>
      <c r="N230"/>
      <c r="O230" s="9"/>
      <c r="P230"/>
    </row>
    <row r="231" spans="1:16" x14ac:dyDescent="0.35">
      <c r="A231" s="15"/>
      <c r="B231" s="15"/>
      <c r="C231"/>
      <c r="D231"/>
      <c r="E231"/>
      <c r="F231"/>
      <c r="G231"/>
      <c r="H231" s="9"/>
      <c r="I231"/>
      <c r="J231"/>
      <c r="K231"/>
      <c r="L231"/>
      <c r="M231"/>
      <c r="N231"/>
      <c r="O231" s="9"/>
      <c r="P231"/>
    </row>
    <row r="232" spans="1:16" x14ac:dyDescent="0.35">
      <c r="A232" s="15"/>
      <c r="B232" s="15"/>
      <c r="C232"/>
      <c r="D232"/>
      <c r="E232"/>
      <c r="F232"/>
      <c r="G232"/>
      <c r="H232" s="9"/>
      <c r="I232"/>
      <c r="J232"/>
      <c r="K232"/>
      <c r="L232"/>
      <c r="M232"/>
      <c r="N232"/>
      <c r="O232" s="9"/>
      <c r="P232"/>
    </row>
    <row r="233" spans="1:16" x14ac:dyDescent="0.35">
      <c r="A233" s="15"/>
      <c r="B233" s="15"/>
      <c r="C233"/>
      <c r="D233"/>
      <c r="E233"/>
      <c r="F233"/>
      <c r="G233"/>
      <c r="H233" s="9"/>
      <c r="I233"/>
      <c r="J233"/>
      <c r="K233"/>
      <c r="L233"/>
      <c r="M233"/>
      <c r="N233"/>
      <c r="O233" s="9"/>
      <c r="P233"/>
    </row>
    <row r="234" spans="1:16" x14ac:dyDescent="0.35">
      <c r="A234" s="15"/>
      <c r="B234" s="15"/>
      <c r="C234"/>
      <c r="D234"/>
      <c r="E234"/>
      <c r="F234"/>
      <c r="G234"/>
      <c r="H234" s="9"/>
      <c r="I234"/>
      <c r="J234"/>
      <c r="K234"/>
      <c r="L234"/>
      <c r="M234"/>
      <c r="N234"/>
      <c r="O234" s="9"/>
      <c r="P234"/>
    </row>
    <row r="235" spans="1:16" x14ac:dyDescent="0.35">
      <c r="A235" s="15"/>
      <c r="B235" s="15"/>
      <c r="C235"/>
      <c r="D235"/>
      <c r="E235"/>
      <c r="F235"/>
      <c r="G235"/>
      <c r="H235" s="9"/>
      <c r="I235"/>
      <c r="J235"/>
      <c r="K235"/>
      <c r="L235"/>
      <c r="M235"/>
      <c r="N235"/>
      <c r="O235" s="9"/>
      <c r="P235"/>
    </row>
    <row r="236" spans="1:16" x14ac:dyDescent="0.35">
      <c r="A236" s="15"/>
      <c r="B236" s="15"/>
      <c r="C236"/>
      <c r="D236"/>
      <c r="E236"/>
      <c r="F236"/>
      <c r="G236"/>
      <c r="H236" s="9"/>
      <c r="I236"/>
      <c r="J236"/>
      <c r="K236"/>
      <c r="L236"/>
      <c r="M236"/>
      <c r="N236"/>
      <c r="O236" s="9"/>
      <c r="P236"/>
    </row>
    <row r="237" spans="1:16" x14ac:dyDescent="0.35">
      <c r="A237" s="15"/>
      <c r="B237" s="15"/>
      <c r="C237"/>
      <c r="D237"/>
      <c r="E237"/>
      <c r="F237"/>
      <c r="G237"/>
      <c r="H237" s="9"/>
      <c r="I237"/>
      <c r="J237"/>
      <c r="K237"/>
      <c r="L237"/>
      <c r="M237"/>
      <c r="N237"/>
      <c r="O237" s="9"/>
      <c r="P237"/>
    </row>
    <row r="238" spans="1:16" x14ac:dyDescent="0.35">
      <c r="A238" s="15"/>
      <c r="B238" s="15"/>
      <c r="C238"/>
      <c r="D238"/>
      <c r="E238"/>
      <c r="F238"/>
      <c r="G238"/>
      <c r="H238" s="9"/>
      <c r="I238"/>
      <c r="J238"/>
      <c r="K238"/>
      <c r="L238"/>
      <c r="M238"/>
      <c r="N238"/>
      <c r="O238" s="9"/>
      <c r="P238"/>
    </row>
    <row r="239" spans="1:16" x14ac:dyDescent="0.35">
      <c r="A239" s="15"/>
      <c r="B239" s="15"/>
      <c r="C239"/>
      <c r="D239"/>
      <c r="E239"/>
      <c r="F239"/>
      <c r="G239"/>
      <c r="H239" s="9"/>
      <c r="I239"/>
      <c r="J239"/>
      <c r="K239"/>
      <c r="L239"/>
      <c r="M239"/>
      <c r="N239"/>
      <c r="O239" s="9"/>
      <c r="P239"/>
    </row>
    <row r="240" spans="1:16" x14ac:dyDescent="0.35">
      <c r="A240" s="15"/>
      <c r="B240" s="15"/>
      <c r="C240"/>
      <c r="D240"/>
      <c r="E240"/>
      <c r="F240"/>
      <c r="G240"/>
      <c r="H240" s="9"/>
      <c r="I240"/>
      <c r="J240"/>
      <c r="K240"/>
      <c r="L240"/>
      <c r="M240"/>
      <c r="N240"/>
      <c r="O240" s="9"/>
      <c r="P240"/>
    </row>
    <row r="241" spans="1:16" x14ac:dyDescent="0.35">
      <c r="A241" s="15"/>
      <c r="B241" s="15"/>
      <c r="C241"/>
      <c r="D241"/>
      <c r="E241"/>
      <c r="F241"/>
      <c r="G241"/>
      <c r="H241" s="9"/>
      <c r="I241"/>
      <c r="J241"/>
      <c r="K241"/>
      <c r="L241"/>
      <c r="M241"/>
      <c r="N241"/>
      <c r="O241" s="9"/>
      <c r="P241"/>
    </row>
    <row r="242" spans="1:16" x14ac:dyDescent="0.35">
      <c r="A242" s="15"/>
      <c r="B242" s="15"/>
      <c r="C242"/>
      <c r="D242"/>
      <c r="E242"/>
      <c r="F242"/>
      <c r="G242"/>
      <c r="H242" s="9"/>
      <c r="I242"/>
      <c r="J242"/>
      <c r="K242"/>
      <c r="L242"/>
      <c r="M242"/>
      <c r="N242"/>
      <c r="O242" s="9"/>
      <c r="P242"/>
    </row>
    <row r="243" spans="1:16" x14ac:dyDescent="0.35">
      <c r="A243" s="15"/>
      <c r="B243" s="15"/>
      <c r="C243"/>
      <c r="D243"/>
      <c r="E243"/>
      <c r="F243"/>
      <c r="G243"/>
      <c r="H243" s="9"/>
      <c r="I243"/>
      <c r="J243"/>
      <c r="K243"/>
      <c r="L243"/>
      <c r="M243"/>
      <c r="N243"/>
      <c r="O243" s="9"/>
      <c r="P243"/>
    </row>
    <row r="244" spans="1:16" x14ac:dyDescent="0.35">
      <c r="A244" s="15"/>
      <c r="B244" s="15"/>
      <c r="C244"/>
      <c r="D244"/>
      <c r="E244"/>
      <c r="F244"/>
      <c r="G244"/>
      <c r="H244" s="9"/>
      <c r="I244"/>
      <c r="J244"/>
      <c r="K244"/>
      <c r="L244"/>
      <c r="M244"/>
      <c r="N244"/>
      <c r="O244" s="9"/>
      <c r="P244"/>
    </row>
    <row r="245" spans="1:16" x14ac:dyDescent="0.35">
      <c r="A245" s="15"/>
      <c r="B245" s="15"/>
      <c r="C245"/>
      <c r="D245"/>
      <c r="E245"/>
      <c r="F245"/>
      <c r="G245"/>
      <c r="H245" s="9"/>
      <c r="I245"/>
      <c r="J245"/>
      <c r="K245"/>
      <c r="L245"/>
      <c r="M245"/>
      <c r="N245"/>
      <c r="O245" s="9"/>
      <c r="P245"/>
    </row>
    <row r="246" spans="1:16" x14ac:dyDescent="0.35">
      <c r="A246" s="15"/>
      <c r="B246" s="15"/>
      <c r="C246"/>
      <c r="D246"/>
      <c r="E246"/>
      <c r="F246"/>
      <c r="G246"/>
      <c r="H246" s="9"/>
      <c r="I246"/>
      <c r="J246"/>
      <c r="K246"/>
      <c r="L246"/>
      <c r="M246"/>
      <c r="N246"/>
      <c r="O246" s="9"/>
      <c r="P246"/>
    </row>
    <row r="247" spans="1:16" x14ac:dyDescent="0.35">
      <c r="A247" s="15"/>
      <c r="B247" s="15"/>
      <c r="C247"/>
      <c r="D247"/>
      <c r="E247"/>
      <c r="F247"/>
      <c r="G247"/>
      <c r="H247" s="9"/>
      <c r="I247"/>
      <c r="J247"/>
      <c r="K247"/>
      <c r="L247"/>
      <c r="M247"/>
      <c r="N247"/>
      <c r="O247" s="9"/>
      <c r="P247"/>
    </row>
    <row r="248" spans="1:16" x14ac:dyDescent="0.35">
      <c r="A248" s="15"/>
      <c r="B248" s="15"/>
      <c r="C248"/>
      <c r="D248"/>
      <c r="E248"/>
      <c r="F248"/>
      <c r="G248"/>
      <c r="H248" s="9"/>
      <c r="I248"/>
      <c r="J248"/>
      <c r="K248"/>
      <c r="L248"/>
      <c r="M248"/>
      <c r="N248"/>
      <c r="O248" s="9"/>
      <c r="P248"/>
    </row>
    <row r="249" spans="1:16" x14ac:dyDescent="0.35">
      <c r="A249" s="15"/>
      <c r="B249" s="15"/>
      <c r="C249"/>
      <c r="D249"/>
      <c r="E249"/>
      <c r="F249"/>
      <c r="G249"/>
      <c r="H249" s="9"/>
      <c r="I249"/>
      <c r="J249"/>
      <c r="K249"/>
      <c r="L249"/>
      <c r="M249"/>
      <c r="N249"/>
      <c r="O249" s="9"/>
      <c r="P249"/>
    </row>
    <row r="250" spans="1:16" x14ac:dyDescent="0.35">
      <c r="A250" s="15"/>
      <c r="B250" s="15"/>
      <c r="C250"/>
      <c r="D250"/>
      <c r="E250"/>
      <c r="F250"/>
      <c r="G250"/>
      <c r="H250" s="9"/>
      <c r="I250"/>
      <c r="J250"/>
      <c r="K250"/>
      <c r="L250"/>
      <c r="M250"/>
      <c r="N250"/>
      <c r="O250" s="9"/>
      <c r="P250"/>
    </row>
    <row r="251" spans="1:16" x14ac:dyDescent="0.35">
      <c r="A251" s="15"/>
      <c r="B251" s="15"/>
      <c r="C251"/>
      <c r="D251"/>
      <c r="E251"/>
      <c r="F251"/>
      <c r="G251"/>
      <c r="H251" s="9"/>
      <c r="I251"/>
      <c r="J251"/>
      <c r="K251"/>
      <c r="L251"/>
      <c r="M251"/>
      <c r="N251"/>
      <c r="O251" s="9"/>
      <c r="P251"/>
    </row>
    <row r="252" spans="1:16" x14ac:dyDescent="0.35">
      <c r="A252" s="15"/>
      <c r="B252" s="15"/>
      <c r="C252"/>
      <c r="D252"/>
      <c r="E252"/>
      <c r="F252"/>
      <c r="G252"/>
      <c r="H252" s="9"/>
      <c r="I252"/>
      <c r="J252"/>
      <c r="K252"/>
      <c r="L252"/>
      <c r="M252"/>
      <c r="N252"/>
      <c r="O252" s="9"/>
      <c r="P252"/>
    </row>
    <row r="253" spans="1:16" x14ac:dyDescent="0.35">
      <c r="A253" s="15"/>
      <c r="B253" s="15"/>
      <c r="C253"/>
      <c r="D253"/>
      <c r="E253"/>
      <c r="F253"/>
      <c r="G253"/>
      <c r="H253" s="9"/>
      <c r="I253"/>
      <c r="J253"/>
      <c r="K253"/>
      <c r="L253"/>
      <c r="M253"/>
      <c r="N253"/>
      <c r="O253" s="9"/>
      <c r="P253"/>
    </row>
    <row r="254" spans="1:16" x14ac:dyDescent="0.35">
      <c r="A254" s="15"/>
      <c r="B254" s="15"/>
      <c r="C254"/>
      <c r="D254"/>
      <c r="E254"/>
      <c r="F254"/>
      <c r="G254"/>
      <c r="H254" s="9"/>
      <c r="I254"/>
      <c r="J254"/>
      <c r="K254"/>
      <c r="L254"/>
      <c r="M254"/>
      <c r="N254"/>
      <c r="O254" s="9"/>
      <c r="P254"/>
    </row>
    <row r="255" spans="1:16" x14ac:dyDescent="0.35">
      <c r="A255" s="15"/>
      <c r="B255" s="15"/>
      <c r="C255"/>
      <c r="D255"/>
      <c r="E255"/>
      <c r="F255"/>
      <c r="G255"/>
      <c r="H255" s="9"/>
      <c r="I255"/>
      <c r="J255"/>
      <c r="K255"/>
      <c r="L255"/>
      <c r="M255"/>
      <c r="N255"/>
      <c r="O255" s="9"/>
      <c r="P255"/>
    </row>
    <row r="256" spans="1:16" x14ac:dyDescent="0.35">
      <c r="A256" s="15"/>
      <c r="B256" s="15"/>
      <c r="C256"/>
      <c r="D256"/>
      <c r="E256"/>
      <c r="F256"/>
      <c r="G256"/>
      <c r="H256" s="9"/>
      <c r="I256"/>
      <c r="J256"/>
      <c r="K256"/>
      <c r="L256"/>
      <c r="M256"/>
      <c r="N256"/>
      <c r="O256" s="9"/>
      <c r="P256"/>
    </row>
    <row r="257" spans="1:16" x14ac:dyDescent="0.35">
      <c r="A257" s="15"/>
      <c r="B257" s="15"/>
      <c r="C257"/>
      <c r="D257"/>
      <c r="E257"/>
      <c r="F257"/>
      <c r="G257"/>
      <c r="H257" s="9"/>
      <c r="I257"/>
      <c r="J257"/>
      <c r="K257"/>
      <c r="L257"/>
      <c r="M257"/>
      <c r="N257"/>
      <c r="O257" s="9"/>
      <c r="P257"/>
    </row>
    <row r="258" spans="1:16" x14ac:dyDescent="0.35">
      <c r="A258" s="15"/>
      <c r="B258" s="15"/>
      <c r="C258"/>
      <c r="D258"/>
      <c r="E258"/>
      <c r="F258"/>
      <c r="G258"/>
      <c r="H258" s="9"/>
      <c r="I258"/>
      <c r="J258"/>
      <c r="K258"/>
      <c r="L258"/>
      <c r="M258"/>
      <c r="N258"/>
      <c r="O258" s="9"/>
      <c r="P258"/>
    </row>
    <row r="259" spans="1:16" x14ac:dyDescent="0.35">
      <c r="A259" s="15"/>
      <c r="B259" s="15"/>
      <c r="C259"/>
      <c r="D259"/>
      <c r="E259"/>
      <c r="F259"/>
      <c r="G259"/>
      <c r="H259" s="9"/>
      <c r="I259"/>
      <c r="J259"/>
      <c r="K259"/>
      <c r="L259"/>
      <c r="M259"/>
      <c r="N259"/>
      <c r="O259" s="9"/>
      <c r="P259"/>
    </row>
    <row r="260" spans="1:16" x14ac:dyDescent="0.35">
      <c r="A260" s="15"/>
      <c r="B260" s="15"/>
      <c r="C260"/>
      <c r="D260"/>
      <c r="E260"/>
      <c r="F260"/>
      <c r="G260"/>
      <c r="H260" s="9"/>
      <c r="I260"/>
      <c r="J260"/>
      <c r="K260"/>
      <c r="L260"/>
      <c r="M260"/>
      <c r="N260"/>
      <c r="O260" s="9"/>
      <c r="P260"/>
    </row>
    <row r="261" spans="1:16" x14ac:dyDescent="0.35">
      <c r="A261" s="15"/>
      <c r="B261" s="15"/>
      <c r="C261"/>
      <c r="D261"/>
      <c r="E261"/>
      <c r="F261"/>
      <c r="G261"/>
      <c r="H261" s="9"/>
      <c r="I261"/>
      <c r="J261"/>
      <c r="K261"/>
      <c r="L261"/>
      <c r="M261"/>
      <c r="N261"/>
      <c r="O261" s="9"/>
      <c r="P261"/>
    </row>
    <row r="262" spans="1:16" x14ac:dyDescent="0.35">
      <c r="A262" s="15"/>
      <c r="B262" s="15"/>
      <c r="C262"/>
      <c r="D262"/>
      <c r="E262"/>
      <c r="F262"/>
      <c r="G262"/>
      <c r="H262" s="9"/>
      <c r="I262"/>
      <c r="J262"/>
      <c r="K262"/>
      <c r="L262"/>
      <c r="M262"/>
      <c r="N262"/>
      <c r="O262" s="9"/>
      <c r="P262"/>
    </row>
    <row r="263" spans="1:16" x14ac:dyDescent="0.35">
      <c r="A263" s="15"/>
      <c r="B263" s="15"/>
      <c r="C263"/>
      <c r="D263"/>
      <c r="E263"/>
      <c r="F263"/>
      <c r="G263"/>
      <c r="H263" s="9"/>
      <c r="I263"/>
      <c r="J263"/>
      <c r="K263"/>
      <c r="L263"/>
      <c r="M263"/>
      <c r="N263"/>
      <c r="O263" s="9"/>
      <c r="P263"/>
    </row>
    <row r="264" spans="1:16" x14ac:dyDescent="0.35">
      <c r="A264" s="15"/>
      <c r="B264" s="15"/>
      <c r="C264"/>
      <c r="D264"/>
      <c r="E264"/>
      <c r="F264"/>
      <c r="G264"/>
      <c r="H264" s="9"/>
      <c r="I264"/>
      <c r="J264"/>
      <c r="K264"/>
      <c r="L264"/>
      <c r="M264"/>
      <c r="N264"/>
      <c r="O264" s="9"/>
      <c r="P264"/>
    </row>
    <row r="265" spans="1:16" x14ac:dyDescent="0.35">
      <c r="A265" s="15"/>
      <c r="B265" s="15"/>
      <c r="C265"/>
      <c r="D265"/>
      <c r="E265"/>
      <c r="F265"/>
      <c r="G265"/>
      <c r="H265" s="9"/>
      <c r="I265"/>
      <c r="J265"/>
      <c r="K265"/>
      <c r="L265"/>
      <c r="M265"/>
      <c r="N265"/>
      <c r="O265" s="9"/>
      <c r="P265"/>
    </row>
    <row r="266" spans="1:16" x14ac:dyDescent="0.35">
      <c r="A266" s="15"/>
      <c r="B266" s="15"/>
      <c r="C266"/>
      <c r="D266"/>
      <c r="E266"/>
      <c r="F266"/>
      <c r="G266"/>
      <c r="H266" s="9"/>
      <c r="I266"/>
      <c r="J266"/>
      <c r="K266"/>
      <c r="L266"/>
      <c r="M266"/>
      <c r="N266"/>
      <c r="O266" s="9"/>
      <c r="P266"/>
    </row>
    <row r="267" spans="1:16" x14ac:dyDescent="0.35">
      <c r="A267" s="15"/>
      <c r="B267" s="15"/>
      <c r="C267"/>
      <c r="D267"/>
      <c r="E267"/>
      <c r="F267"/>
      <c r="G267"/>
      <c r="H267" s="9"/>
      <c r="I267"/>
      <c r="J267"/>
      <c r="K267"/>
      <c r="L267"/>
      <c r="M267"/>
      <c r="N267"/>
      <c r="O267" s="9"/>
      <c r="P267"/>
    </row>
    <row r="268" spans="1:16" x14ac:dyDescent="0.35">
      <c r="A268" s="15"/>
      <c r="B268" s="15"/>
      <c r="C268"/>
      <c r="D268"/>
      <c r="E268"/>
      <c r="F268"/>
      <c r="G268"/>
      <c r="H268" s="9"/>
      <c r="I268"/>
      <c r="J268"/>
      <c r="K268"/>
      <c r="L268"/>
      <c r="M268"/>
      <c r="N268"/>
      <c r="O268" s="9"/>
      <c r="P268"/>
    </row>
    <row r="269" spans="1:16" x14ac:dyDescent="0.35">
      <c r="A269" s="15"/>
      <c r="B269" s="15"/>
      <c r="C269"/>
      <c r="D269"/>
      <c r="E269"/>
      <c r="F269"/>
      <c r="G269"/>
      <c r="H269" s="9"/>
      <c r="I269"/>
      <c r="J269"/>
      <c r="K269"/>
      <c r="L269"/>
      <c r="M269"/>
      <c r="N269"/>
      <c r="O269" s="9"/>
      <c r="P269"/>
    </row>
    <row r="270" spans="1:16" x14ac:dyDescent="0.35">
      <c r="A270" s="15"/>
      <c r="B270" s="15"/>
      <c r="C270"/>
      <c r="D270"/>
      <c r="E270"/>
      <c r="F270"/>
      <c r="G270"/>
      <c r="H270" s="9"/>
      <c r="I270"/>
      <c r="J270"/>
      <c r="K270"/>
      <c r="L270"/>
      <c r="M270"/>
      <c r="N270"/>
      <c r="O270" s="9"/>
      <c r="P270"/>
    </row>
    <row r="271" spans="1:16" x14ac:dyDescent="0.35">
      <c r="A271" s="15"/>
      <c r="B271" s="15"/>
      <c r="C271"/>
      <c r="D271"/>
      <c r="E271"/>
      <c r="F271"/>
      <c r="G271"/>
      <c r="H271" s="9"/>
      <c r="I271"/>
      <c r="J271"/>
      <c r="K271"/>
      <c r="L271"/>
      <c r="M271"/>
      <c r="N271"/>
      <c r="O271" s="9"/>
      <c r="P271"/>
    </row>
    <row r="272" spans="1:16" x14ac:dyDescent="0.35">
      <c r="A272" s="15"/>
      <c r="B272" s="15"/>
      <c r="C272"/>
      <c r="D272"/>
      <c r="E272"/>
      <c r="F272"/>
      <c r="G272"/>
      <c r="H272" s="9"/>
      <c r="I272"/>
      <c r="J272"/>
      <c r="K272"/>
      <c r="L272"/>
      <c r="M272"/>
      <c r="N272"/>
      <c r="O272" s="9"/>
      <c r="P272"/>
    </row>
    <row r="273" spans="1:16" x14ac:dyDescent="0.35">
      <c r="A273" s="15"/>
      <c r="B273" s="15"/>
      <c r="C273"/>
      <c r="D273"/>
      <c r="E273"/>
      <c r="F273"/>
      <c r="G273"/>
      <c r="H273" s="9"/>
      <c r="I273"/>
      <c r="J273"/>
      <c r="K273"/>
      <c r="L273"/>
      <c r="M273"/>
      <c r="N273"/>
      <c r="O273" s="9"/>
      <c r="P273"/>
    </row>
    <row r="274" spans="1:16" x14ac:dyDescent="0.35">
      <c r="A274" s="15"/>
      <c r="B274" s="15"/>
      <c r="C274"/>
      <c r="D274"/>
      <c r="E274"/>
      <c r="F274"/>
      <c r="G274"/>
      <c r="H274" s="9"/>
      <c r="I274"/>
      <c r="J274"/>
      <c r="K274"/>
      <c r="L274"/>
      <c r="M274"/>
      <c r="N274"/>
      <c r="O274" s="9"/>
      <c r="P274"/>
    </row>
    <row r="275" spans="1:16" x14ac:dyDescent="0.35">
      <c r="A275" s="15"/>
      <c r="B275" s="15"/>
      <c r="C275"/>
      <c r="D275"/>
      <c r="E275"/>
      <c r="F275"/>
      <c r="G275"/>
      <c r="H275" s="9"/>
      <c r="I275"/>
      <c r="J275"/>
      <c r="K275"/>
      <c r="L275"/>
      <c r="M275"/>
      <c r="N275"/>
      <c r="O275" s="9"/>
      <c r="P275"/>
    </row>
    <row r="276" spans="1:16" x14ac:dyDescent="0.35">
      <c r="A276" s="15"/>
      <c r="B276" s="15"/>
      <c r="C276"/>
      <c r="D276"/>
      <c r="E276"/>
      <c r="F276"/>
      <c r="G276"/>
      <c r="H276" s="9"/>
      <c r="I276"/>
      <c r="J276"/>
      <c r="K276"/>
      <c r="L276"/>
      <c r="M276"/>
      <c r="N276"/>
      <c r="O276" s="9"/>
      <c r="P276"/>
    </row>
    <row r="277" spans="1:16" x14ac:dyDescent="0.35">
      <c r="A277" s="15"/>
      <c r="B277" s="15"/>
      <c r="C277"/>
      <c r="D277"/>
      <c r="E277"/>
      <c r="F277"/>
      <c r="G277"/>
      <c r="H277" s="9"/>
      <c r="I277"/>
      <c r="J277"/>
      <c r="K277"/>
      <c r="L277"/>
      <c r="M277"/>
      <c r="N277"/>
      <c r="O277" s="9"/>
      <c r="P277"/>
    </row>
    <row r="278" spans="1:16" x14ac:dyDescent="0.35">
      <c r="A278" s="15"/>
      <c r="B278" s="15"/>
      <c r="C278"/>
      <c r="D278"/>
      <c r="E278"/>
      <c r="F278"/>
      <c r="G278"/>
      <c r="H278" s="9"/>
      <c r="I278"/>
      <c r="J278"/>
      <c r="K278"/>
      <c r="L278"/>
      <c r="M278"/>
      <c r="N278"/>
      <c r="O278" s="9"/>
      <c r="P278"/>
    </row>
    <row r="279" spans="1:16" x14ac:dyDescent="0.35">
      <c r="A279" s="15"/>
      <c r="B279" s="15"/>
      <c r="C279"/>
      <c r="D279"/>
      <c r="E279"/>
      <c r="F279"/>
      <c r="G279"/>
      <c r="H279" s="9"/>
      <c r="I279"/>
      <c r="J279"/>
      <c r="K279"/>
      <c r="L279"/>
      <c r="M279"/>
      <c r="N279"/>
      <c r="O279" s="9"/>
      <c r="P279"/>
    </row>
    <row r="280" spans="1:16" x14ac:dyDescent="0.35">
      <c r="A280" s="15"/>
      <c r="B280" s="15"/>
      <c r="C280"/>
      <c r="D280"/>
      <c r="E280"/>
      <c r="F280"/>
      <c r="G280"/>
      <c r="H280" s="9"/>
      <c r="I280"/>
      <c r="J280"/>
      <c r="K280"/>
      <c r="L280"/>
      <c r="M280"/>
      <c r="N280"/>
      <c r="O280" s="9"/>
      <c r="P280"/>
    </row>
    <row r="281" spans="1:16" x14ac:dyDescent="0.35">
      <c r="A281" s="15"/>
      <c r="B281" s="15"/>
      <c r="C281"/>
      <c r="D281"/>
      <c r="E281"/>
      <c r="F281"/>
      <c r="G281"/>
      <c r="H281" s="9"/>
      <c r="I281"/>
      <c r="J281"/>
      <c r="K281"/>
      <c r="L281"/>
      <c r="M281"/>
      <c r="N281"/>
      <c r="O281" s="9"/>
      <c r="P281"/>
    </row>
    <row r="282" spans="1:16" x14ac:dyDescent="0.35">
      <c r="A282" s="15"/>
      <c r="B282" s="15"/>
      <c r="C282"/>
      <c r="D282"/>
      <c r="E282"/>
      <c r="F282"/>
      <c r="G282"/>
      <c r="H282" s="9"/>
      <c r="I282"/>
      <c r="J282"/>
      <c r="K282"/>
      <c r="L282"/>
      <c r="M282"/>
      <c r="N282"/>
      <c r="O282" s="9"/>
      <c r="P282"/>
    </row>
    <row r="283" spans="1:16" x14ac:dyDescent="0.35">
      <c r="A283" s="15"/>
      <c r="B283" s="15"/>
      <c r="C283"/>
      <c r="D283"/>
      <c r="E283"/>
      <c r="F283"/>
      <c r="G283"/>
      <c r="H283" s="9"/>
      <c r="I283"/>
      <c r="J283"/>
      <c r="K283"/>
      <c r="L283"/>
      <c r="M283"/>
      <c r="N283"/>
      <c r="O283" s="9"/>
      <c r="P283"/>
    </row>
    <row r="284" spans="1:16" x14ac:dyDescent="0.35">
      <c r="A284" s="15"/>
      <c r="B284" s="15"/>
      <c r="C284"/>
      <c r="D284"/>
      <c r="E284"/>
      <c r="F284"/>
      <c r="G284"/>
      <c r="H284" s="9"/>
      <c r="I284"/>
      <c r="J284"/>
      <c r="K284"/>
      <c r="L284"/>
      <c r="M284"/>
      <c r="N284"/>
      <c r="O284" s="9"/>
      <c r="P284"/>
    </row>
    <row r="285" spans="1:16" x14ac:dyDescent="0.35">
      <c r="A285" s="15"/>
      <c r="B285" s="15"/>
      <c r="C285"/>
      <c r="D285"/>
      <c r="E285"/>
      <c r="F285"/>
      <c r="G285"/>
      <c r="H285" s="9"/>
      <c r="I285"/>
      <c r="J285"/>
      <c r="K285"/>
      <c r="L285"/>
      <c r="M285"/>
      <c r="N285"/>
      <c r="O285" s="9"/>
      <c r="P285"/>
    </row>
    <row r="286" spans="1:16" x14ac:dyDescent="0.35">
      <c r="A286" s="15"/>
      <c r="B286" s="15"/>
      <c r="C286"/>
      <c r="D286"/>
      <c r="E286"/>
      <c r="F286"/>
      <c r="G286"/>
      <c r="H286" s="9"/>
      <c r="I286"/>
      <c r="J286"/>
      <c r="K286"/>
      <c r="L286"/>
      <c r="M286"/>
      <c r="N286"/>
      <c r="O286" s="9"/>
      <c r="P286"/>
    </row>
    <row r="287" spans="1:16" x14ac:dyDescent="0.35">
      <c r="A287" s="15"/>
      <c r="B287" s="15"/>
      <c r="C287"/>
      <c r="D287"/>
      <c r="E287"/>
      <c r="F287"/>
      <c r="G287"/>
      <c r="H287" s="9"/>
      <c r="I287"/>
      <c r="J287"/>
      <c r="K287"/>
      <c r="L287"/>
      <c r="M287"/>
      <c r="N287"/>
      <c r="O287" s="9"/>
      <c r="P287"/>
    </row>
    <row r="288" spans="1:16" x14ac:dyDescent="0.35">
      <c r="A288" s="15"/>
      <c r="B288" s="15"/>
      <c r="C288"/>
      <c r="D288"/>
      <c r="E288"/>
      <c r="F288"/>
      <c r="G288"/>
      <c r="H288" s="9"/>
      <c r="I288"/>
      <c r="J288"/>
      <c r="K288"/>
      <c r="L288"/>
      <c r="M288"/>
      <c r="N288"/>
      <c r="O288" s="9"/>
      <c r="P288"/>
    </row>
    <row r="289" spans="1:16" x14ac:dyDescent="0.35">
      <c r="A289" s="15"/>
      <c r="B289" s="15"/>
      <c r="C289"/>
      <c r="D289"/>
      <c r="E289"/>
      <c r="F289"/>
      <c r="G289"/>
      <c r="H289" s="9"/>
      <c r="I289"/>
      <c r="J289"/>
      <c r="K289"/>
      <c r="L289"/>
      <c r="M289"/>
      <c r="N289"/>
      <c r="O289" s="9"/>
      <c r="P289"/>
    </row>
    <row r="290" spans="1:16" x14ac:dyDescent="0.35">
      <c r="A290" s="15"/>
      <c r="B290" s="15"/>
      <c r="C290"/>
      <c r="D290"/>
      <c r="E290"/>
      <c r="F290"/>
      <c r="G290"/>
      <c r="H290" s="9"/>
      <c r="I290"/>
      <c r="J290"/>
      <c r="K290"/>
      <c r="L290"/>
      <c r="M290"/>
      <c r="N290"/>
      <c r="O290" s="9"/>
      <c r="P290"/>
    </row>
    <row r="291" spans="1:16" x14ac:dyDescent="0.35">
      <c r="A291" s="15"/>
      <c r="B291" s="15"/>
      <c r="C291"/>
      <c r="D291"/>
      <c r="E291"/>
      <c r="F291"/>
      <c r="G291"/>
      <c r="H291" s="9"/>
      <c r="I291"/>
      <c r="J291"/>
      <c r="K291"/>
      <c r="L291"/>
      <c r="M291"/>
      <c r="N291"/>
      <c r="O291" s="9"/>
      <c r="P291"/>
    </row>
    <row r="292" spans="1:16" x14ac:dyDescent="0.35">
      <c r="A292" s="15"/>
      <c r="B292" s="15"/>
      <c r="C292"/>
      <c r="D292"/>
      <c r="E292"/>
      <c r="F292"/>
      <c r="G292"/>
      <c r="H292" s="9"/>
      <c r="I292"/>
      <c r="J292"/>
      <c r="K292"/>
      <c r="L292"/>
      <c r="M292"/>
      <c r="N292"/>
      <c r="O292" s="9"/>
      <c r="P292"/>
    </row>
    <row r="293" spans="1:16" x14ac:dyDescent="0.35">
      <c r="A293" s="15"/>
      <c r="B293" s="15"/>
      <c r="C293"/>
      <c r="D293"/>
      <c r="E293"/>
      <c r="F293"/>
      <c r="G293"/>
      <c r="H293" s="9"/>
      <c r="I293"/>
      <c r="J293"/>
      <c r="K293"/>
      <c r="L293"/>
      <c r="M293"/>
      <c r="N293"/>
      <c r="O293" s="9"/>
      <c r="P293"/>
    </row>
    <row r="294" spans="1:16" x14ac:dyDescent="0.35">
      <c r="A294" s="15"/>
      <c r="B294" s="15"/>
      <c r="C294"/>
      <c r="D294"/>
      <c r="E294"/>
      <c r="F294"/>
      <c r="G294"/>
      <c r="H294" s="9"/>
      <c r="I294"/>
      <c r="J294"/>
      <c r="K294"/>
      <c r="L294"/>
      <c r="M294"/>
      <c r="N294"/>
      <c r="O294" s="9"/>
      <c r="P294"/>
    </row>
    <row r="295" spans="1:16" x14ac:dyDescent="0.35">
      <c r="A295" s="15"/>
      <c r="B295" s="15"/>
      <c r="C295"/>
      <c r="D295"/>
      <c r="E295"/>
      <c r="F295"/>
      <c r="G295"/>
      <c r="H295" s="9"/>
      <c r="I295"/>
      <c r="J295"/>
      <c r="K295"/>
      <c r="L295"/>
      <c r="M295"/>
      <c r="N295"/>
      <c r="O295" s="9"/>
      <c r="P295"/>
    </row>
    <row r="296" spans="1:16" x14ac:dyDescent="0.35">
      <c r="A296" s="15"/>
      <c r="B296" s="15"/>
      <c r="C296"/>
      <c r="D296"/>
      <c r="E296"/>
      <c r="F296"/>
      <c r="G296"/>
      <c r="H296" s="9"/>
      <c r="I296"/>
      <c r="J296"/>
      <c r="K296"/>
      <c r="L296"/>
      <c r="M296"/>
      <c r="N296"/>
      <c r="O296" s="9"/>
      <c r="P296"/>
    </row>
    <row r="297" spans="1:16" x14ac:dyDescent="0.35">
      <c r="A297" s="15"/>
      <c r="B297" s="15"/>
      <c r="C297"/>
      <c r="D297"/>
      <c r="E297"/>
      <c r="F297"/>
      <c r="G297"/>
      <c r="H297" s="9"/>
      <c r="I297"/>
      <c r="J297"/>
      <c r="K297"/>
      <c r="L297"/>
      <c r="M297"/>
      <c r="N297"/>
      <c r="O297" s="9"/>
      <c r="P297"/>
    </row>
    <row r="298" spans="1:16" x14ac:dyDescent="0.35">
      <c r="A298" s="15"/>
      <c r="B298" s="15"/>
      <c r="C298"/>
      <c r="D298"/>
      <c r="E298"/>
      <c r="F298"/>
      <c r="G298"/>
      <c r="H298" s="9"/>
      <c r="I298"/>
      <c r="J298"/>
      <c r="K298"/>
      <c r="L298"/>
      <c r="M298"/>
      <c r="N298"/>
      <c r="O298" s="9"/>
      <c r="P298"/>
    </row>
    <row r="299" spans="1:16" x14ac:dyDescent="0.35">
      <c r="A299" s="15"/>
      <c r="B299" s="15"/>
      <c r="C299"/>
      <c r="D299"/>
      <c r="E299"/>
      <c r="F299"/>
      <c r="G299"/>
      <c r="H299" s="9"/>
      <c r="I299"/>
      <c r="J299"/>
      <c r="K299"/>
      <c r="L299"/>
      <c r="M299"/>
      <c r="N299"/>
      <c r="O299" s="9"/>
      <c r="P299"/>
    </row>
    <row r="300" spans="1:16" x14ac:dyDescent="0.35">
      <c r="A300" s="15"/>
      <c r="B300" s="15"/>
      <c r="C300"/>
      <c r="D300"/>
      <c r="E300"/>
      <c r="F300"/>
      <c r="G300"/>
      <c r="H300" s="9"/>
      <c r="I300"/>
      <c r="J300"/>
      <c r="K300"/>
      <c r="L300"/>
      <c r="M300"/>
      <c r="N300"/>
      <c r="O300" s="9"/>
      <c r="P300"/>
    </row>
    <row r="301" spans="1:16" x14ac:dyDescent="0.35">
      <c r="A301" s="15"/>
      <c r="B301" s="15"/>
      <c r="C301"/>
      <c r="D301"/>
      <c r="E301"/>
      <c r="F301"/>
      <c r="G301"/>
      <c r="H301" s="9"/>
      <c r="I301"/>
      <c r="J301"/>
      <c r="K301"/>
      <c r="L301"/>
      <c r="M301"/>
      <c r="N301"/>
      <c r="O301" s="9"/>
      <c r="P301"/>
    </row>
    <row r="302" spans="1:16" x14ac:dyDescent="0.35">
      <c r="A302" s="15"/>
      <c r="B302" s="15"/>
      <c r="C302"/>
      <c r="D302"/>
      <c r="E302"/>
      <c r="F302"/>
      <c r="G302"/>
      <c r="H302" s="9"/>
      <c r="I302"/>
      <c r="J302"/>
      <c r="K302"/>
      <c r="L302"/>
      <c r="M302"/>
      <c r="N302"/>
      <c r="O302" s="9"/>
      <c r="P302"/>
    </row>
    <row r="303" spans="1:16" x14ac:dyDescent="0.35">
      <c r="A303" s="15"/>
      <c r="B303" s="15"/>
      <c r="C303"/>
      <c r="D303"/>
      <c r="E303"/>
      <c r="F303"/>
      <c r="G303"/>
      <c r="H303" s="9"/>
      <c r="I303"/>
      <c r="J303"/>
      <c r="K303"/>
      <c r="L303"/>
      <c r="M303"/>
      <c r="N303"/>
      <c r="O303" s="9"/>
      <c r="P303"/>
    </row>
    <row r="304" spans="1:16" x14ac:dyDescent="0.35">
      <c r="A304" s="15"/>
      <c r="B304" s="15"/>
      <c r="C304"/>
      <c r="D304"/>
      <c r="E304"/>
      <c r="F304"/>
      <c r="G304"/>
      <c r="H304" s="9"/>
      <c r="I304"/>
      <c r="J304"/>
      <c r="K304"/>
      <c r="L304"/>
      <c r="M304"/>
      <c r="N304"/>
      <c r="O304" s="9"/>
      <c r="P304"/>
    </row>
    <row r="305" spans="1:16" x14ac:dyDescent="0.35">
      <c r="A305" s="15"/>
      <c r="B305" s="15"/>
      <c r="C305"/>
      <c r="D305"/>
      <c r="E305"/>
      <c r="F305"/>
      <c r="G305"/>
      <c r="H305" s="9"/>
      <c r="I305"/>
      <c r="J305"/>
      <c r="K305"/>
      <c r="L305"/>
      <c r="M305"/>
      <c r="N305"/>
      <c r="O305" s="9"/>
      <c r="P305"/>
    </row>
    <row r="306" spans="1:16" x14ac:dyDescent="0.35">
      <c r="A306" s="15"/>
      <c r="B306" s="15"/>
      <c r="C306"/>
      <c r="D306"/>
      <c r="E306"/>
      <c r="F306"/>
      <c r="G306"/>
      <c r="H306" s="9"/>
      <c r="I306"/>
      <c r="J306"/>
      <c r="K306"/>
      <c r="L306"/>
      <c r="M306"/>
      <c r="N306"/>
      <c r="O306" s="9"/>
      <c r="P306"/>
    </row>
    <row r="307" spans="1:16" x14ac:dyDescent="0.35">
      <c r="A307" s="15"/>
      <c r="B307" s="15"/>
      <c r="C307"/>
      <c r="D307"/>
      <c r="E307"/>
      <c r="F307"/>
      <c r="G307"/>
      <c r="H307" s="9"/>
      <c r="I307"/>
      <c r="J307"/>
      <c r="K307"/>
      <c r="L307"/>
      <c r="M307"/>
      <c r="N307"/>
      <c r="O307" s="9"/>
      <c r="P307"/>
    </row>
    <row r="308" spans="1:16" x14ac:dyDescent="0.35">
      <c r="A308" s="15"/>
      <c r="B308" s="15"/>
      <c r="C308"/>
      <c r="D308"/>
      <c r="E308"/>
      <c r="F308"/>
      <c r="G308"/>
      <c r="H308" s="9"/>
      <c r="I308"/>
      <c r="J308"/>
      <c r="K308"/>
      <c r="L308"/>
      <c r="M308"/>
      <c r="N308"/>
      <c r="O308" s="9"/>
      <c r="P308"/>
    </row>
    <row r="309" spans="1:16" x14ac:dyDescent="0.35">
      <c r="A309" s="15"/>
      <c r="B309" s="15"/>
      <c r="C309"/>
      <c r="D309"/>
      <c r="E309"/>
      <c r="F309"/>
      <c r="G309"/>
      <c r="H309" s="9"/>
      <c r="I309"/>
      <c r="J309"/>
      <c r="K309"/>
      <c r="L309"/>
      <c r="M309"/>
      <c r="N309"/>
      <c r="O309" s="9"/>
      <c r="P309"/>
    </row>
    <row r="310" spans="1:16" x14ac:dyDescent="0.35">
      <c r="A310" s="15"/>
      <c r="B310" s="15"/>
      <c r="C310"/>
      <c r="D310"/>
      <c r="E310"/>
      <c r="F310"/>
      <c r="G310"/>
      <c r="H310" s="9"/>
      <c r="I310"/>
      <c r="J310"/>
      <c r="K310"/>
      <c r="L310"/>
      <c r="M310"/>
      <c r="N310"/>
      <c r="O310" s="9"/>
      <c r="P310"/>
    </row>
    <row r="311" spans="1:16" x14ac:dyDescent="0.35">
      <c r="A311" s="15"/>
      <c r="B311" s="15"/>
      <c r="C311"/>
      <c r="D311"/>
      <c r="E311"/>
      <c r="F311"/>
      <c r="G311"/>
      <c r="H311" s="9"/>
      <c r="I311"/>
      <c r="J311"/>
      <c r="K311"/>
      <c r="L311"/>
      <c r="M311"/>
      <c r="N311"/>
      <c r="O311" s="9"/>
      <c r="P311"/>
    </row>
    <row r="312" spans="1:16" x14ac:dyDescent="0.35">
      <c r="A312" s="15"/>
      <c r="B312" s="15"/>
      <c r="C312"/>
      <c r="D312"/>
      <c r="E312"/>
      <c r="F312"/>
      <c r="G312"/>
      <c r="H312" s="9"/>
      <c r="I312"/>
      <c r="J312"/>
      <c r="K312"/>
      <c r="L312"/>
      <c r="M312"/>
      <c r="N312"/>
      <c r="O312" s="9"/>
      <c r="P312"/>
    </row>
    <row r="313" spans="1:16" x14ac:dyDescent="0.35">
      <c r="A313" s="15"/>
      <c r="B313" s="15"/>
      <c r="C313"/>
      <c r="D313"/>
      <c r="E313"/>
      <c r="F313"/>
      <c r="G313"/>
      <c r="H313" s="9"/>
      <c r="I313"/>
      <c r="J313"/>
      <c r="K313"/>
      <c r="L313"/>
      <c r="M313"/>
      <c r="N313"/>
      <c r="O313" s="9"/>
      <c r="P313"/>
    </row>
    <row r="314" spans="1:16" x14ac:dyDescent="0.35">
      <c r="A314" s="15"/>
      <c r="B314" s="15"/>
      <c r="C314"/>
      <c r="D314"/>
      <c r="E314"/>
      <c r="F314"/>
      <c r="G314"/>
      <c r="H314" s="9"/>
      <c r="I314"/>
      <c r="J314"/>
      <c r="K314"/>
      <c r="L314"/>
      <c r="M314"/>
      <c r="N314"/>
      <c r="O314" s="9"/>
      <c r="P314"/>
    </row>
    <row r="315" spans="1:16" x14ac:dyDescent="0.35">
      <c r="A315" s="15"/>
      <c r="B315" s="15"/>
      <c r="C315"/>
      <c r="D315"/>
      <c r="E315"/>
      <c r="F315"/>
      <c r="G315"/>
      <c r="H315" s="9"/>
      <c r="I315"/>
      <c r="J315"/>
      <c r="K315"/>
      <c r="L315"/>
      <c r="M315"/>
      <c r="N315"/>
      <c r="O315" s="9"/>
      <c r="P315"/>
    </row>
    <row r="316" spans="1:16" x14ac:dyDescent="0.35">
      <c r="A316" s="15"/>
      <c r="B316" s="15"/>
      <c r="C316"/>
      <c r="D316"/>
      <c r="E316"/>
      <c r="F316"/>
      <c r="G316"/>
      <c r="H316" s="9"/>
      <c r="I316"/>
      <c r="J316"/>
      <c r="K316"/>
      <c r="L316"/>
      <c r="M316"/>
      <c r="N316"/>
      <c r="O316" s="9"/>
      <c r="P316"/>
    </row>
    <row r="317" spans="1:16" x14ac:dyDescent="0.35">
      <c r="A317" s="15"/>
      <c r="B317" s="15"/>
      <c r="C317"/>
      <c r="D317"/>
      <c r="E317"/>
      <c r="F317"/>
      <c r="G317"/>
      <c r="H317" s="9"/>
      <c r="I317"/>
      <c r="J317"/>
      <c r="K317"/>
      <c r="L317"/>
      <c r="M317"/>
      <c r="N317"/>
      <c r="O317" s="9"/>
      <c r="P317"/>
    </row>
    <row r="318" spans="1:16" x14ac:dyDescent="0.35">
      <c r="A318" s="15"/>
      <c r="B318" s="15"/>
      <c r="C318"/>
      <c r="D318"/>
      <c r="E318"/>
      <c r="F318"/>
      <c r="G318"/>
      <c r="H318" s="9"/>
      <c r="I318"/>
      <c r="J318"/>
      <c r="K318"/>
      <c r="L318"/>
      <c r="M318"/>
      <c r="N318"/>
      <c r="O318" s="9"/>
      <c r="P318"/>
    </row>
    <row r="319" spans="1:16" x14ac:dyDescent="0.35">
      <c r="A319" s="15"/>
      <c r="B319" s="15"/>
      <c r="C319"/>
      <c r="D319"/>
      <c r="E319"/>
      <c r="F319"/>
      <c r="G319"/>
      <c r="H319" s="9"/>
      <c r="I319"/>
      <c r="J319"/>
      <c r="K319"/>
      <c r="L319"/>
      <c r="M319"/>
      <c r="N319"/>
      <c r="O319" s="9"/>
      <c r="P319"/>
    </row>
    <row r="320" spans="1:16" x14ac:dyDescent="0.35">
      <c r="A320" s="15"/>
      <c r="B320" s="15"/>
      <c r="C320"/>
      <c r="D320"/>
      <c r="E320"/>
      <c r="F320"/>
      <c r="G320"/>
      <c r="H320" s="9"/>
      <c r="I320"/>
      <c r="J320"/>
      <c r="K320"/>
      <c r="L320"/>
      <c r="M320"/>
      <c r="N320"/>
      <c r="O320" s="9"/>
      <c r="P320"/>
    </row>
    <row r="321" spans="1:16" x14ac:dyDescent="0.35">
      <c r="A321" s="15"/>
      <c r="B321" s="15"/>
      <c r="C321"/>
      <c r="D321"/>
      <c r="E321"/>
      <c r="F321"/>
      <c r="G321"/>
      <c r="H321" s="9"/>
      <c r="I321"/>
      <c r="J321"/>
      <c r="K321"/>
      <c r="L321"/>
      <c r="M321"/>
      <c r="N321"/>
      <c r="O321" s="9"/>
      <c r="P321"/>
    </row>
    <row r="322" spans="1:16" x14ac:dyDescent="0.35">
      <c r="A322" s="15"/>
      <c r="B322" s="15"/>
      <c r="C322"/>
      <c r="D322"/>
      <c r="E322"/>
      <c r="F322"/>
      <c r="G322"/>
      <c r="H322" s="9"/>
      <c r="I322"/>
      <c r="J322"/>
      <c r="K322"/>
      <c r="L322"/>
      <c r="M322"/>
      <c r="N322"/>
      <c r="O322" s="9"/>
      <c r="P322"/>
    </row>
    <row r="323" spans="1:16" x14ac:dyDescent="0.35">
      <c r="A323" s="15"/>
      <c r="B323" s="15"/>
      <c r="C323"/>
      <c r="D323"/>
      <c r="E323"/>
      <c r="F323"/>
      <c r="G323"/>
      <c r="H323" s="9"/>
      <c r="I323"/>
      <c r="J323"/>
      <c r="K323"/>
      <c r="L323"/>
      <c r="M323"/>
      <c r="N323"/>
      <c r="O323" s="9"/>
      <c r="P323"/>
    </row>
    <row r="324" spans="1:16" x14ac:dyDescent="0.35">
      <c r="A324" s="15"/>
      <c r="B324" s="15"/>
      <c r="C324"/>
      <c r="D324"/>
      <c r="E324"/>
      <c r="F324"/>
      <c r="G324"/>
      <c r="H324" s="9"/>
      <c r="I324"/>
      <c r="J324"/>
      <c r="K324"/>
      <c r="L324"/>
      <c r="M324"/>
      <c r="N324"/>
      <c r="O324" s="9"/>
      <c r="P324"/>
    </row>
    <row r="325" spans="1:16" x14ac:dyDescent="0.35">
      <c r="A325" s="15"/>
      <c r="B325" s="15"/>
      <c r="C325"/>
      <c r="D325"/>
      <c r="E325"/>
      <c r="F325"/>
      <c r="G325"/>
      <c r="H325" s="9"/>
      <c r="I325"/>
      <c r="J325"/>
      <c r="K325"/>
      <c r="L325"/>
      <c r="M325"/>
      <c r="N325"/>
      <c r="O325" s="9"/>
      <c r="P325"/>
    </row>
    <row r="326" spans="1:16" x14ac:dyDescent="0.35">
      <c r="A326" s="15"/>
      <c r="B326" s="15"/>
      <c r="C326"/>
      <c r="D326"/>
      <c r="E326"/>
      <c r="F326"/>
      <c r="G326"/>
      <c r="H326" s="9"/>
      <c r="I326"/>
      <c r="J326"/>
      <c r="K326"/>
      <c r="L326"/>
      <c r="M326"/>
      <c r="N326"/>
      <c r="O326" s="9"/>
      <c r="P326"/>
    </row>
    <row r="327" spans="1:16" x14ac:dyDescent="0.35">
      <c r="A327" s="15"/>
      <c r="B327" s="15"/>
      <c r="C327"/>
      <c r="D327"/>
      <c r="E327"/>
      <c r="F327"/>
      <c r="G327"/>
      <c r="H327" s="9"/>
      <c r="I327"/>
      <c r="J327"/>
      <c r="K327"/>
      <c r="L327"/>
      <c r="M327"/>
      <c r="N327"/>
      <c r="O327" s="9"/>
      <c r="P327"/>
    </row>
    <row r="328" spans="1:16" x14ac:dyDescent="0.35">
      <c r="A328" s="15"/>
      <c r="B328" s="15"/>
      <c r="C328"/>
      <c r="D328"/>
      <c r="E328"/>
      <c r="F328"/>
      <c r="G328"/>
      <c r="H328" s="9"/>
      <c r="I328"/>
      <c r="J328"/>
      <c r="K328"/>
      <c r="L328"/>
      <c r="M328"/>
      <c r="N328"/>
      <c r="O328" s="9"/>
      <c r="P328"/>
    </row>
    <row r="329" spans="1:16" x14ac:dyDescent="0.35">
      <c r="A329" s="15"/>
      <c r="B329" s="15"/>
      <c r="C329"/>
      <c r="D329"/>
      <c r="E329"/>
      <c r="F329"/>
      <c r="G329"/>
      <c r="H329" s="9"/>
      <c r="I329"/>
      <c r="J329"/>
      <c r="K329"/>
      <c r="L329"/>
      <c r="M329"/>
      <c r="N329"/>
      <c r="O329" s="9"/>
      <c r="P329"/>
    </row>
    <row r="330" spans="1:16" x14ac:dyDescent="0.35">
      <c r="A330" s="15"/>
      <c r="B330" s="15"/>
      <c r="C330"/>
      <c r="D330"/>
      <c r="E330"/>
      <c r="F330"/>
      <c r="G330"/>
      <c r="H330" s="9"/>
      <c r="I330"/>
      <c r="J330"/>
      <c r="K330"/>
      <c r="L330"/>
      <c r="M330"/>
      <c r="N330"/>
      <c r="O330" s="9"/>
      <c r="P330"/>
    </row>
    <row r="331" spans="1:16" x14ac:dyDescent="0.35">
      <c r="A331" s="15"/>
      <c r="B331" s="15"/>
      <c r="C331"/>
      <c r="D331"/>
      <c r="E331"/>
      <c r="F331"/>
      <c r="G331"/>
      <c r="H331" s="9"/>
      <c r="I331"/>
      <c r="J331"/>
      <c r="K331"/>
      <c r="L331"/>
      <c r="M331"/>
      <c r="N331"/>
      <c r="O331" s="9"/>
      <c r="P331"/>
    </row>
    <row r="332" spans="1:16" x14ac:dyDescent="0.35">
      <c r="A332" s="15"/>
      <c r="B332" s="15"/>
      <c r="C332"/>
      <c r="D332"/>
      <c r="E332"/>
      <c r="F332"/>
      <c r="G332"/>
      <c r="H332" s="9"/>
      <c r="I332"/>
      <c r="J332"/>
      <c r="K332"/>
      <c r="L332"/>
      <c r="M332"/>
      <c r="N332"/>
      <c r="O332" s="9"/>
      <c r="P332"/>
    </row>
    <row r="333" spans="1:16" x14ac:dyDescent="0.35">
      <c r="A333" s="15"/>
      <c r="B333" s="15"/>
      <c r="C333"/>
      <c r="D333"/>
      <c r="E333"/>
      <c r="F333"/>
      <c r="G333"/>
      <c r="H333" s="9"/>
      <c r="I333"/>
      <c r="J333"/>
      <c r="K333"/>
      <c r="L333"/>
      <c r="M333"/>
      <c r="N333"/>
      <c r="O333" s="9"/>
      <c r="P333"/>
    </row>
    <row r="334" spans="1:16" x14ac:dyDescent="0.35">
      <c r="A334" s="15"/>
      <c r="B334" s="15"/>
      <c r="C334"/>
      <c r="D334"/>
      <c r="E334"/>
      <c r="F334"/>
      <c r="G334"/>
      <c r="H334" s="9"/>
      <c r="I334"/>
      <c r="J334"/>
      <c r="K334"/>
      <c r="L334"/>
      <c r="M334"/>
      <c r="N334"/>
      <c r="O334" s="9"/>
      <c r="P334"/>
    </row>
    <row r="335" spans="1:16" x14ac:dyDescent="0.35">
      <c r="A335" s="15"/>
      <c r="B335" s="15"/>
      <c r="C335"/>
      <c r="D335"/>
      <c r="E335"/>
      <c r="F335"/>
      <c r="G335"/>
      <c r="H335" s="9"/>
      <c r="I335"/>
      <c r="J335"/>
      <c r="K335"/>
      <c r="L335"/>
      <c r="M335"/>
      <c r="N335"/>
      <c r="O335" s="9"/>
      <c r="P335"/>
    </row>
    <row r="336" spans="1:16" x14ac:dyDescent="0.35">
      <c r="A336" s="15"/>
      <c r="B336" s="15"/>
      <c r="C336"/>
      <c r="D336"/>
      <c r="E336"/>
      <c r="F336"/>
      <c r="G336"/>
      <c r="H336" s="9"/>
      <c r="I336"/>
      <c r="J336"/>
      <c r="K336"/>
      <c r="L336"/>
      <c r="M336"/>
      <c r="N336"/>
      <c r="O336" s="9"/>
      <c r="P336"/>
    </row>
    <row r="337" spans="1:16" x14ac:dyDescent="0.35">
      <c r="A337" s="15"/>
      <c r="B337" s="15"/>
      <c r="C337"/>
      <c r="D337"/>
      <c r="E337"/>
      <c r="F337"/>
      <c r="G337"/>
      <c r="H337" s="9"/>
      <c r="I337"/>
      <c r="J337"/>
      <c r="K337"/>
      <c r="L337"/>
      <c r="M337"/>
      <c r="N337"/>
      <c r="O337" s="9"/>
      <c r="P337"/>
    </row>
    <row r="338" spans="1:16" x14ac:dyDescent="0.35">
      <c r="A338" s="15"/>
      <c r="B338" s="15"/>
      <c r="C338"/>
      <c r="D338"/>
      <c r="E338"/>
      <c r="F338"/>
      <c r="G338"/>
      <c r="H338" s="9"/>
      <c r="I338"/>
      <c r="J338"/>
      <c r="K338"/>
      <c r="L338"/>
      <c r="M338"/>
      <c r="N338"/>
      <c r="O338" s="9"/>
      <c r="P338"/>
    </row>
    <row r="339" spans="1:16" x14ac:dyDescent="0.35">
      <c r="A339" s="15"/>
      <c r="B339" s="15"/>
      <c r="C339"/>
      <c r="D339"/>
      <c r="E339"/>
      <c r="F339"/>
      <c r="G339"/>
      <c r="H339" s="9"/>
      <c r="I339"/>
      <c r="J339"/>
      <c r="K339"/>
      <c r="L339"/>
      <c r="M339"/>
      <c r="N339"/>
      <c r="O339" s="9"/>
      <c r="P339"/>
    </row>
    <row r="340" spans="1:16" x14ac:dyDescent="0.35">
      <c r="A340" s="15"/>
      <c r="B340" s="15"/>
      <c r="C340"/>
      <c r="D340"/>
      <c r="E340"/>
      <c r="F340"/>
      <c r="G340"/>
      <c r="H340" s="9"/>
      <c r="I340"/>
      <c r="J340"/>
      <c r="K340"/>
      <c r="L340"/>
      <c r="M340"/>
      <c r="N340"/>
      <c r="O340" s="9"/>
      <c r="P340"/>
    </row>
    <row r="341" spans="1:16" x14ac:dyDescent="0.35">
      <c r="A341" s="15"/>
      <c r="B341" s="15"/>
      <c r="C341"/>
      <c r="D341"/>
      <c r="E341"/>
      <c r="F341"/>
      <c r="G341"/>
      <c r="H341" s="9"/>
      <c r="I341"/>
      <c r="J341"/>
      <c r="K341"/>
      <c r="L341"/>
      <c r="M341"/>
      <c r="N341"/>
      <c r="O341" s="9"/>
      <c r="P341"/>
    </row>
    <row r="342" spans="1:16" x14ac:dyDescent="0.35">
      <c r="A342" s="15"/>
      <c r="B342" s="15"/>
      <c r="C342"/>
      <c r="D342"/>
      <c r="E342"/>
      <c r="F342"/>
      <c r="G342"/>
      <c r="H342" s="9"/>
      <c r="I342"/>
      <c r="J342"/>
      <c r="K342"/>
      <c r="L342"/>
      <c r="M342"/>
      <c r="N342"/>
      <c r="O342" s="9"/>
      <c r="P342"/>
    </row>
    <row r="343" spans="1:16" x14ac:dyDescent="0.35">
      <c r="A343" s="15"/>
      <c r="B343" s="15"/>
      <c r="C343"/>
      <c r="D343"/>
      <c r="E343"/>
      <c r="F343"/>
      <c r="G343"/>
      <c r="H343" s="9"/>
      <c r="I343"/>
      <c r="J343"/>
      <c r="K343"/>
      <c r="L343"/>
      <c r="M343"/>
      <c r="N343"/>
      <c r="O343" s="9"/>
      <c r="P343"/>
    </row>
    <row r="344" spans="1:16" x14ac:dyDescent="0.35">
      <c r="A344" s="15"/>
      <c r="B344" s="15"/>
      <c r="C344"/>
      <c r="D344"/>
      <c r="E344"/>
      <c r="F344"/>
      <c r="G344"/>
      <c r="H344" s="9"/>
      <c r="I344"/>
      <c r="J344"/>
      <c r="K344"/>
      <c r="L344"/>
      <c r="M344"/>
      <c r="N344"/>
      <c r="O344" s="9"/>
      <c r="P344"/>
    </row>
    <row r="345" spans="1:16" x14ac:dyDescent="0.35">
      <c r="A345" s="15"/>
      <c r="B345" s="15"/>
      <c r="C345"/>
      <c r="D345"/>
      <c r="E345"/>
      <c r="F345"/>
      <c r="G345"/>
      <c r="H345" s="9"/>
      <c r="I345"/>
      <c r="J345"/>
      <c r="K345"/>
      <c r="L345"/>
      <c r="M345"/>
      <c r="N345"/>
      <c r="O345" s="9"/>
      <c r="P345"/>
    </row>
    <row r="346" spans="1:16" x14ac:dyDescent="0.35">
      <c r="A346" s="15"/>
      <c r="B346" s="15"/>
      <c r="C346"/>
      <c r="D346"/>
      <c r="E346"/>
      <c r="F346"/>
      <c r="G346"/>
      <c r="H346" s="9"/>
      <c r="I346"/>
      <c r="J346"/>
      <c r="K346"/>
      <c r="L346"/>
      <c r="M346"/>
      <c r="N346"/>
      <c r="O346" s="9"/>
      <c r="P346"/>
    </row>
    <row r="347" spans="1:16" x14ac:dyDescent="0.35">
      <c r="A347" s="15"/>
      <c r="B347" s="15"/>
      <c r="C347"/>
      <c r="D347"/>
      <c r="E347"/>
      <c r="F347"/>
      <c r="G347"/>
      <c r="H347" s="9"/>
      <c r="I347"/>
      <c r="J347"/>
      <c r="K347"/>
      <c r="L347"/>
      <c r="M347"/>
      <c r="N347"/>
      <c r="O347" s="9"/>
      <c r="P347"/>
    </row>
    <row r="348" spans="1:16" x14ac:dyDescent="0.35">
      <c r="A348" s="15"/>
      <c r="B348" s="15"/>
      <c r="C348"/>
      <c r="D348"/>
      <c r="E348"/>
      <c r="F348"/>
      <c r="G348"/>
      <c r="H348" s="9"/>
      <c r="I348"/>
      <c r="J348"/>
      <c r="K348"/>
      <c r="L348"/>
      <c r="M348"/>
      <c r="N348"/>
      <c r="O348" s="9"/>
      <c r="P348"/>
    </row>
    <row r="349" spans="1:16" x14ac:dyDescent="0.35">
      <c r="A349" s="15"/>
      <c r="B349" s="15"/>
      <c r="C349"/>
      <c r="D349"/>
      <c r="E349"/>
      <c r="F349"/>
      <c r="G349"/>
      <c r="H349" s="9"/>
      <c r="I349"/>
      <c r="J349"/>
      <c r="K349"/>
      <c r="L349"/>
      <c r="M349"/>
      <c r="N349"/>
      <c r="O349" s="9"/>
      <c r="P349"/>
    </row>
    <row r="350" spans="1:16" x14ac:dyDescent="0.35">
      <c r="A350" s="15"/>
      <c r="B350" s="15"/>
      <c r="C350"/>
      <c r="D350"/>
      <c r="E350"/>
      <c r="F350"/>
      <c r="G350"/>
      <c r="H350" s="9"/>
      <c r="I350"/>
      <c r="J350"/>
      <c r="K350"/>
      <c r="L350"/>
      <c r="M350"/>
      <c r="N350"/>
      <c r="O350" s="9"/>
      <c r="P350"/>
    </row>
    <row r="351" spans="1:16" x14ac:dyDescent="0.35">
      <c r="A351" s="15"/>
      <c r="B351" s="15"/>
      <c r="C351"/>
      <c r="D351"/>
      <c r="E351"/>
      <c r="F351"/>
      <c r="G351"/>
      <c r="H351" s="9"/>
      <c r="I351"/>
      <c r="J351"/>
      <c r="K351"/>
      <c r="L351"/>
      <c r="M351"/>
      <c r="N351"/>
      <c r="O351" s="9"/>
      <c r="P351"/>
    </row>
    <row r="352" spans="1:16" x14ac:dyDescent="0.35">
      <c r="A352" s="15"/>
      <c r="B352" s="15"/>
      <c r="C352"/>
      <c r="D352"/>
      <c r="E352"/>
      <c r="F352"/>
      <c r="G352"/>
      <c r="H352" s="9"/>
      <c r="I352"/>
      <c r="J352"/>
      <c r="K352"/>
      <c r="L352"/>
      <c r="M352"/>
      <c r="N352"/>
      <c r="O352" s="9"/>
      <c r="P352"/>
    </row>
    <row r="353" spans="1:16" x14ac:dyDescent="0.35">
      <c r="A353" s="15"/>
      <c r="B353" s="15"/>
      <c r="C353"/>
      <c r="D353"/>
      <c r="E353"/>
      <c r="F353"/>
      <c r="G353"/>
      <c r="H353" s="9"/>
      <c r="I353"/>
      <c r="J353"/>
      <c r="K353"/>
      <c r="L353"/>
      <c r="M353"/>
      <c r="N353"/>
      <c r="O353" s="9"/>
      <c r="P353"/>
    </row>
    <row r="354" spans="1:16" x14ac:dyDescent="0.35">
      <c r="A354" s="15"/>
      <c r="B354" s="15"/>
      <c r="C354"/>
      <c r="D354"/>
      <c r="E354"/>
      <c r="F354"/>
      <c r="G354"/>
      <c r="H354" s="9"/>
      <c r="I354"/>
      <c r="J354"/>
      <c r="K354"/>
      <c r="L354"/>
      <c r="M354"/>
      <c r="N354"/>
      <c r="O354" s="9"/>
      <c r="P354"/>
    </row>
    <row r="355" spans="1:16" x14ac:dyDescent="0.35">
      <c r="A355" s="15"/>
      <c r="B355" s="15"/>
      <c r="C355"/>
      <c r="D355"/>
      <c r="E355"/>
      <c r="F355"/>
      <c r="G355"/>
      <c r="H355" s="9"/>
      <c r="I355"/>
      <c r="J355"/>
      <c r="K355"/>
      <c r="L355"/>
      <c r="M355"/>
      <c r="N355"/>
      <c r="O355" s="9"/>
      <c r="P355"/>
    </row>
    <row r="356" spans="1:16" x14ac:dyDescent="0.35">
      <c r="A356" s="15"/>
      <c r="B356" s="15"/>
      <c r="C356"/>
      <c r="D356"/>
      <c r="E356"/>
      <c r="F356"/>
      <c r="G356"/>
      <c r="H356" s="9"/>
      <c r="I356"/>
      <c r="J356"/>
      <c r="K356"/>
      <c r="L356"/>
      <c r="M356"/>
      <c r="N356"/>
      <c r="O356" s="9"/>
      <c r="P356"/>
    </row>
    <row r="357" spans="1:16" x14ac:dyDescent="0.35">
      <c r="A357" s="15"/>
      <c r="B357" s="15"/>
      <c r="C357"/>
      <c r="D357"/>
      <c r="E357"/>
      <c r="F357"/>
      <c r="G357"/>
      <c r="H357" s="9"/>
      <c r="I357"/>
      <c r="J357"/>
      <c r="K357"/>
      <c r="L357"/>
      <c r="M357"/>
      <c r="N357"/>
      <c r="O357" s="9"/>
      <c r="P357"/>
    </row>
    <row r="358" spans="1:16" x14ac:dyDescent="0.35">
      <c r="A358" s="15"/>
      <c r="B358" s="15"/>
      <c r="C358"/>
      <c r="D358"/>
      <c r="E358"/>
      <c r="F358"/>
      <c r="G358"/>
      <c r="H358" s="9"/>
      <c r="I358"/>
      <c r="J358"/>
      <c r="K358"/>
      <c r="L358"/>
      <c r="M358"/>
      <c r="N358"/>
      <c r="O358" s="9"/>
      <c r="P358"/>
    </row>
    <row r="359" spans="1:16" x14ac:dyDescent="0.35">
      <c r="A359" s="15"/>
      <c r="B359" s="15"/>
      <c r="C359"/>
      <c r="D359"/>
      <c r="E359"/>
      <c r="F359"/>
      <c r="G359"/>
      <c r="H359" s="9"/>
      <c r="I359"/>
      <c r="J359"/>
      <c r="K359"/>
      <c r="L359"/>
      <c r="M359"/>
      <c r="N359"/>
      <c r="O359" s="9"/>
      <c r="P359"/>
    </row>
    <row r="360" spans="1:16" x14ac:dyDescent="0.35">
      <c r="A360" s="15"/>
      <c r="B360" s="15"/>
      <c r="C360"/>
      <c r="D360"/>
      <c r="E360"/>
      <c r="F360"/>
      <c r="G360"/>
      <c r="H360" s="9"/>
      <c r="I360"/>
      <c r="J360"/>
      <c r="K360"/>
      <c r="L360"/>
      <c r="M360"/>
      <c r="N360"/>
      <c r="O360" s="9"/>
      <c r="P360"/>
    </row>
    <row r="361" spans="1:16" x14ac:dyDescent="0.35">
      <c r="A361" s="15"/>
      <c r="B361" s="15"/>
      <c r="C361"/>
      <c r="D361"/>
      <c r="E361"/>
      <c r="F361"/>
      <c r="G361"/>
      <c r="H361" s="9"/>
      <c r="I361"/>
      <c r="J361"/>
      <c r="K361"/>
      <c r="L361"/>
      <c r="M361"/>
      <c r="N361"/>
      <c r="O361" s="9"/>
      <c r="P361"/>
    </row>
    <row r="362" spans="1:16" x14ac:dyDescent="0.35">
      <c r="A362" s="15"/>
      <c r="B362" s="15"/>
      <c r="C362"/>
      <c r="D362"/>
      <c r="E362"/>
      <c r="F362"/>
      <c r="G362"/>
      <c r="H362" s="9"/>
      <c r="I362"/>
      <c r="J362"/>
      <c r="K362"/>
      <c r="L362"/>
      <c r="M362"/>
      <c r="N362"/>
      <c r="O362" s="9"/>
      <c r="P362"/>
    </row>
    <row r="363" spans="1:16" x14ac:dyDescent="0.35">
      <c r="A363" s="15"/>
      <c r="B363" s="15"/>
      <c r="C363"/>
      <c r="D363"/>
      <c r="E363"/>
      <c r="F363"/>
      <c r="G363"/>
      <c r="H363" s="9"/>
      <c r="I363"/>
      <c r="J363"/>
      <c r="K363"/>
      <c r="L363"/>
      <c r="M363"/>
      <c r="N363"/>
      <c r="O363" s="9"/>
      <c r="P363"/>
    </row>
    <row r="364" spans="1:16" x14ac:dyDescent="0.35">
      <c r="A364" s="15"/>
      <c r="B364" s="15"/>
      <c r="C364"/>
      <c r="D364"/>
      <c r="E364"/>
      <c r="F364"/>
      <c r="G364"/>
      <c r="H364" s="9"/>
      <c r="I364"/>
      <c r="J364"/>
      <c r="K364"/>
      <c r="L364"/>
      <c r="M364"/>
      <c r="N364"/>
      <c r="O364" s="9"/>
      <c r="P364"/>
    </row>
    <row r="365" spans="1:16" x14ac:dyDescent="0.35">
      <c r="A365" s="15"/>
      <c r="B365" s="15"/>
      <c r="C365"/>
      <c r="D365"/>
      <c r="E365"/>
      <c r="F365"/>
      <c r="G365"/>
      <c r="H365" s="9"/>
      <c r="I365"/>
      <c r="J365"/>
      <c r="K365"/>
      <c r="L365"/>
      <c r="M365"/>
      <c r="N365"/>
      <c r="O365" s="9"/>
      <c r="P365"/>
    </row>
    <row r="366" spans="1:16" x14ac:dyDescent="0.35">
      <c r="A366" s="15"/>
      <c r="B366" s="15"/>
      <c r="C366"/>
      <c r="D366"/>
      <c r="E366"/>
      <c r="F366"/>
      <c r="G366"/>
      <c r="H366" s="9"/>
      <c r="I366"/>
      <c r="J366"/>
      <c r="K366"/>
      <c r="L366"/>
      <c r="M366"/>
      <c r="N366"/>
      <c r="O366" s="9"/>
      <c r="P366"/>
    </row>
    <row r="367" spans="1:16" x14ac:dyDescent="0.35">
      <c r="A367" s="15"/>
      <c r="B367" s="15"/>
      <c r="C367"/>
      <c r="D367"/>
      <c r="E367"/>
      <c r="F367"/>
      <c r="G367"/>
      <c r="H367" s="9"/>
      <c r="I367"/>
      <c r="J367"/>
      <c r="K367"/>
      <c r="L367"/>
      <c r="M367"/>
      <c r="N367"/>
      <c r="O367" s="9"/>
      <c r="P367"/>
    </row>
    <row r="368" spans="1:16" x14ac:dyDescent="0.35">
      <c r="A368" s="15"/>
      <c r="B368" s="15"/>
      <c r="C368"/>
      <c r="D368"/>
      <c r="E368"/>
      <c r="F368"/>
      <c r="G368"/>
      <c r="H368" s="9"/>
      <c r="I368"/>
      <c r="J368"/>
      <c r="K368"/>
      <c r="L368"/>
      <c r="M368"/>
      <c r="N368"/>
      <c r="O368" s="9"/>
      <c r="P368"/>
    </row>
    <row r="369" spans="1:16" x14ac:dyDescent="0.35">
      <c r="A369" s="15"/>
      <c r="B369" s="15"/>
      <c r="C369"/>
      <c r="D369"/>
      <c r="E369"/>
      <c r="F369"/>
      <c r="G369"/>
      <c r="H369" s="9"/>
      <c r="I369"/>
      <c r="J369"/>
      <c r="K369"/>
      <c r="L369"/>
      <c r="M369"/>
      <c r="N369"/>
      <c r="O369" s="9"/>
      <c r="P369"/>
    </row>
    <row r="370" spans="1:16" x14ac:dyDescent="0.35">
      <c r="A370" s="15"/>
      <c r="B370" s="15"/>
      <c r="C370"/>
      <c r="D370"/>
      <c r="E370"/>
      <c r="F370"/>
      <c r="G370"/>
      <c r="H370" s="9"/>
      <c r="I370"/>
      <c r="J370"/>
      <c r="K370"/>
      <c r="L370"/>
      <c r="M370"/>
      <c r="N370"/>
      <c r="O370" s="9"/>
      <c r="P370"/>
    </row>
    <row r="371" spans="1:16" x14ac:dyDescent="0.35">
      <c r="A371" s="15"/>
      <c r="B371" s="15"/>
      <c r="C371"/>
      <c r="D371"/>
      <c r="E371"/>
      <c r="F371"/>
      <c r="G371"/>
      <c r="H371" s="9"/>
      <c r="I371"/>
      <c r="J371"/>
      <c r="K371"/>
      <c r="L371"/>
      <c r="M371"/>
      <c r="N371"/>
      <c r="O371" s="9"/>
      <c r="P371"/>
    </row>
    <row r="372" spans="1:16" x14ac:dyDescent="0.35">
      <c r="A372" s="15"/>
      <c r="B372" s="15"/>
      <c r="C372"/>
      <c r="D372"/>
      <c r="E372"/>
      <c r="F372"/>
      <c r="G372"/>
      <c r="H372" s="9"/>
      <c r="I372"/>
      <c r="J372"/>
      <c r="K372"/>
      <c r="L372"/>
      <c r="M372"/>
      <c r="N372"/>
      <c r="O372" s="9"/>
      <c r="P372"/>
    </row>
    <row r="373" spans="1:16" x14ac:dyDescent="0.35">
      <c r="A373" s="15"/>
      <c r="B373" s="15"/>
      <c r="C373"/>
      <c r="D373"/>
      <c r="E373"/>
      <c r="F373"/>
      <c r="G373"/>
      <c r="H373" s="9"/>
      <c r="I373"/>
      <c r="J373"/>
      <c r="K373"/>
      <c r="L373"/>
      <c r="M373"/>
      <c r="N373"/>
      <c r="O373" s="9"/>
      <c r="P373"/>
    </row>
    <row r="374" spans="1:16" x14ac:dyDescent="0.35">
      <c r="A374" s="15"/>
      <c r="B374" s="15"/>
      <c r="C374"/>
      <c r="D374"/>
      <c r="E374"/>
      <c r="F374"/>
      <c r="G374"/>
      <c r="H374" s="9"/>
      <c r="I374"/>
      <c r="J374"/>
      <c r="K374"/>
      <c r="L374"/>
      <c r="M374"/>
      <c r="N374"/>
      <c r="O374" s="9"/>
      <c r="P374"/>
    </row>
    <row r="375" spans="1:16" x14ac:dyDescent="0.35">
      <c r="A375" s="15"/>
      <c r="B375" s="15"/>
      <c r="C375"/>
      <c r="D375"/>
      <c r="E375"/>
      <c r="F375"/>
      <c r="G375"/>
      <c r="H375" s="9"/>
      <c r="I375"/>
      <c r="J375"/>
      <c r="K375"/>
      <c r="L375"/>
      <c r="M375"/>
      <c r="N375"/>
      <c r="O375" s="9"/>
      <c r="P375"/>
    </row>
    <row r="376" spans="1:16" x14ac:dyDescent="0.35">
      <c r="A376" s="15"/>
      <c r="B376" s="15"/>
      <c r="C376"/>
      <c r="D376"/>
      <c r="E376"/>
      <c r="F376"/>
      <c r="G376"/>
      <c r="H376" s="9"/>
      <c r="I376"/>
      <c r="J376"/>
      <c r="K376"/>
      <c r="L376"/>
      <c r="M376"/>
      <c r="N376"/>
      <c r="O376" s="9"/>
      <c r="P376"/>
    </row>
    <row r="377" spans="1:16" x14ac:dyDescent="0.35">
      <c r="A377" s="15"/>
      <c r="B377" s="15"/>
      <c r="C377"/>
      <c r="D377"/>
      <c r="E377"/>
      <c r="F377"/>
      <c r="G377"/>
      <c r="H377" s="9"/>
      <c r="I377"/>
      <c r="J377"/>
      <c r="K377"/>
      <c r="L377"/>
      <c r="M377"/>
      <c r="N377"/>
      <c r="O377" s="9"/>
      <c r="P377"/>
    </row>
    <row r="378" spans="1:16" x14ac:dyDescent="0.35">
      <c r="A378" s="15"/>
      <c r="B378" s="15"/>
      <c r="C378"/>
      <c r="D378"/>
      <c r="E378"/>
      <c r="F378"/>
      <c r="G378"/>
      <c r="H378" s="9"/>
      <c r="I378"/>
      <c r="J378"/>
      <c r="K378"/>
      <c r="L378"/>
      <c r="M378"/>
      <c r="N378"/>
      <c r="O378" s="9"/>
      <c r="P378"/>
    </row>
    <row r="379" spans="1:16" x14ac:dyDescent="0.35">
      <c r="A379" s="15"/>
      <c r="B379" s="15"/>
      <c r="C379"/>
      <c r="D379"/>
      <c r="E379"/>
      <c r="F379"/>
      <c r="G379"/>
      <c r="H379" s="9"/>
      <c r="I379"/>
      <c r="J379"/>
      <c r="K379"/>
      <c r="L379"/>
      <c r="M379"/>
      <c r="N379"/>
      <c r="O379" s="9"/>
      <c r="P379"/>
    </row>
    <row r="380" spans="1:16" x14ac:dyDescent="0.35">
      <c r="A380" s="15"/>
      <c r="B380" s="15"/>
      <c r="C380"/>
      <c r="D380"/>
      <c r="E380"/>
      <c r="F380"/>
      <c r="G380"/>
      <c r="H380" s="9"/>
      <c r="I380"/>
      <c r="J380"/>
      <c r="K380"/>
      <c r="L380"/>
      <c r="M380"/>
      <c r="N380"/>
      <c r="O380" s="9"/>
      <c r="P380"/>
    </row>
    <row r="381" spans="1:16" x14ac:dyDescent="0.35">
      <c r="A381" s="15"/>
      <c r="B381" s="15"/>
      <c r="C381"/>
      <c r="D381"/>
      <c r="E381"/>
      <c r="F381"/>
      <c r="G381"/>
      <c r="H381" s="9"/>
      <c r="I381"/>
      <c r="J381"/>
      <c r="K381"/>
      <c r="L381"/>
      <c r="M381"/>
      <c r="N381"/>
      <c r="O381" s="9"/>
      <c r="P381"/>
    </row>
    <row r="382" spans="1:16" x14ac:dyDescent="0.35">
      <c r="A382" s="15"/>
      <c r="B382" s="15"/>
      <c r="C382"/>
      <c r="D382"/>
      <c r="E382"/>
      <c r="F382"/>
      <c r="G382"/>
      <c r="H382" s="9"/>
      <c r="I382"/>
      <c r="J382"/>
      <c r="K382"/>
      <c r="L382"/>
      <c r="M382"/>
      <c r="N382"/>
      <c r="O382" s="9"/>
      <c r="P382"/>
    </row>
    <row r="383" spans="1:16" x14ac:dyDescent="0.35">
      <c r="A383" s="15"/>
      <c r="B383" s="15"/>
      <c r="C383"/>
      <c r="D383"/>
      <c r="E383"/>
      <c r="F383"/>
      <c r="G383"/>
      <c r="H383" s="9"/>
      <c r="I383"/>
      <c r="J383"/>
      <c r="K383"/>
      <c r="L383"/>
      <c r="M383"/>
      <c r="N383"/>
      <c r="O383" s="9"/>
      <c r="P383"/>
    </row>
    <row r="384" spans="1:16" x14ac:dyDescent="0.35">
      <c r="A384" s="15"/>
      <c r="B384" s="15"/>
      <c r="C384"/>
      <c r="D384"/>
      <c r="E384"/>
      <c r="F384"/>
      <c r="G384"/>
      <c r="H384" s="9"/>
      <c r="I384"/>
      <c r="J384"/>
      <c r="K384"/>
      <c r="L384"/>
      <c r="M384"/>
      <c r="N384"/>
      <c r="O384" s="9"/>
      <c r="P384"/>
    </row>
    <row r="385" spans="1:16" x14ac:dyDescent="0.35">
      <c r="A385" s="15"/>
      <c r="B385" s="15"/>
      <c r="C385"/>
      <c r="D385"/>
      <c r="E385"/>
      <c r="F385"/>
      <c r="G385"/>
      <c r="H385" s="9"/>
      <c r="I385"/>
      <c r="J385"/>
      <c r="K385"/>
      <c r="L385"/>
      <c r="M385"/>
      <c r="N385"/>
      <c r="O385" s="9"/>
      <c r="P385"/>
    </row>
    <row r="386" spans="1:16" x14ac:dyDescent="0.35">
      <c r="A386" s="15"/>
      <c r="B386" s="15"/>
      <c r="C386"/>
      <c r="D386"/>
      <c r="E386"/>
      <c r="F386"/>
      <c r="G386"/>
      <c r="H386" s="9"/>
      <c r="I386"/>
      <c r="J386"/>
      <c r="K386"/>
      <c r="L386"/>
      <c r="M386"/>
      <c r="N386"/>
      <c r="O386" s="9"/>
      <c r="P386"/>
    </row>
    <row r="387" spans="1:16" x14ac:dyDescent="0.35">
      <c r="A387" s="15"/>
      <c r="B387" s="15"/>
      <c r="C387"/>
      <c r="D387"/>
      <c r="E387"/>
      <c r="F387"/>
      <c r="G387"/>
      <c r="H387" s="9"/>
      <c r="I387"/>
      <c r="J387"/>
      <c r="K387"/>
      <c r="L387"/>
      <c r="M387"/>
      <c r="N387"/>
      <c r="O387" s="9"/>
      <c r="P387"/>
    </row>
    <row r="388" spans="1:16" x14ac:dyDescent="0.35">
      <c r="A388" s="15"/>
      <c r="B388" s="15"/>
      <c r="C388"/>
      <c r="D388"/>
      <c r="E388"/>
      <c r="F388"/>
      <c r="G388"/>
      <c r="H388" s="9"/>
      <c r="I388"/>
      <c r="J388"/>
      <c r="K388"/>
      <c r="L388"/>
      <c r="M388"/>
      <c r="N388"/>
      <c r="O388" s="9"/>
      <c r="P388"/>
    </row>
    <row r="389" spans="1:16" x14ac:dyDescent="0.35">
      <c r="A389" s="15"/>
      <c r="B389" s="15"/>
      <c r="C389"/>
      <c r="D389"/>
      <c r="E389"/>
      <c r="F389"/>
      <c r="G389"/>
      <c r="H389" s="9"/>
      <c r="I389"/>
      <c r="J389"/>
      <c r="K389"/>
      <c r="L389"/>
      <c r="M389"/>
      <c r="N389"/>
      <c r="O389" s="9"/>
      <c r="P389"/>
    </row>
    <row r="390" spans="1:16" x14ac:dyDescent="0.35">
      <c r="A390" s="15"/>
      <c r="B390" s="15"/>
      <c r="C390"/>
      <c r="D390"/>
      <c r="E390"/>
      <c r="F390"/>
      <c r="G390"/>
      <c r="H390" s="9"/>
      <c r="I390"/>
      <c r="J390"/>
      <c r="K390"/>
      <c r="L390"/>
      <c r="M390"/>
      <c r="N390"/>
      <c r="O390" s="9"/>
      <c r="P390"/>
    </row>
    <row r="391" spans="1:16" x14ac:dyDescent="0.35">
      <c r="A391" s="15"/>
      <c r="B391" s="15"/>
      <c r="C391"/>
      <c r="D391"/>
      <c r="E391"/>
      <c r="F391"/>
      <c r="G391"/>
      <c r="H391" s="9"/>
      <c r="I391"/>
      <c r="J391"/>
      <c r="K391"/>
      <c r="L391"/>
      <c r="M391"/>
      <c r="N391"/>
      <c r="O391" s="9"/>
      <c r="P391"/>
    </row>
    <row r="392" spans="1:16" x14ac:dyDescent="0.35">
      <c r="A392" s="15"/>
      <c r="B392" s="15"/>
      <c r="C392"/>
      <c r="D392"/>
      <c r="E392"/>
      <c r="F392"/>
      <c r="G392"/>
      <c r="H392" s="9"/>
      <c r="I392"/>
      <c r="J392"/>
      <c r="K392"/>
      <c r="L392"/>
      <c r="M392"/>
      <c r="N392"/>
      <c r="O392" s="9"/>
      <c r="P392"/>
    </row>
    <row r="393" spans="1:16" x14ac:dyDescent="0.35">
      <c r="A393" s="15"/>
      <c r="B393" s="15"/>
      <c r="C393"/>
      <c r="D393"/>
      <c r="E393"/>
      <c r="F393"/>
      <c r="G393"/>
      <c r="H393" s="9"/>
      <c r="I393"/>
      <c r="J393"/>
      <c r="K393"/>
      <c r="L393"/>
      <c r="M393"/>
      <c r="N393"/>
      <c r="O393" s="9"/>
      <c r="P393"/>
    </row>
    <row r="394" spans="1:16" x14ac:dyDescent="0.35">
      <c r="A394" s="15"/>
      <c r="B394" s="15"/>
      <c r="C394"/>
      <c r="D394"/>
      <c r="E394"/>
      <c r="F394"/>
      <c r="G394"/>
      <c r="H394" s="9"/>
      <c r="I394"/>
      <c r="J394"/>
      <c r="K394"/>
      <c r="L394"/>
      <c r="M394"/>
      <c r="N394"/>
      <c r="O394" s="9"/>
      <c r="P394"/>
    </row>
    <row r="395" spans="1:16" x14ac:dyDescent="0.35">
      <c r="A395" s="15"/>
      <c r="B395" s="15"/>
      <c r="C395"/>
      <c r="D395"/>
      <c r="E395"/>
      <c r="F395"/>
      <c r="G395"/>
      <c r="H395" s="9"/>
      <c r="I395"/>
      <c r="J395"/>
      <c r="K395"/>
      <c r="L395"/>
      <c r="M395"/>
      <c r="N395"/>
      <c r="O395" s="9"/>
      <c r="P395"/>
    </row>
    <row r="396" spans="1:16" x14ac:dyDescent="0.35">
      <c r="A396" s="15"/>
      <c r="B396" s="15"/>
      <c r="C396"/>
      <c r="D396"/>
      <c r="E396"/>
      <c r="F396"/>
      <c r="G396"/>
      <c r="H396" s="9"/>
      <c r="I396"/>
      <c r="J396"/>
      <c r="K396"/>
      <c r="L396"/>
      <c r="M396"/>
      <c r="N396"/>
      <c r="O396" s="9"/>
      <c r="P396"/>
    </row>
    <row r="397" spans="1:16" x14ac:dyDescent="0.35">
      <c r="A397" s="15"/>
      <c r="B397" s="15"/>
      <c r="C397"/>
      <c r="D397"/>
      <c r="E397"/>
      <c r="F397"/>
      <c r="G397"/>
      <c r="H397" s="9"/>
      <c r="I397"/>
      <c r="J397"/>
      <c r="K397"/>
      <c r="L397"/>
      <c r="M397"/>
      <c r="N397"/>
      <c r="O397" s="9"/>
      <c r="P397"/>
    </row>
    <row r="398" spans="1:16" x14ac:dyDescent="0.35">
      <c r="A398" s="16"/>
      <c r="B398" s="16"/>
      <c r="C398" s="7"/>
      <c r="D398" s="7"/>
      <c r="E398" s="7"/>
      <c r="F398" s="7"/>
      <c r="G398" s="7"/>
      <c r="H398" s="8"/>
      <c r="I398" s="7"/>
      <c r="J398" s="7"/>
      <c r="K398" s="7"/>
      <c r="L398" s="7"/>
      <c r="M398" s="7"/>
      <c r="N398" s="7"/>
      <c r="O398" s="8"/>
      <c r="P398" s="7"/>
    </row>
    <row r="399" spans="1:16" x14ac:dyDescent="0.35">
      <c r="H399" s="1"/>
      <c r="O399" s="1"/>
    </row>
    <row r="400" spans="1:16" x14ac:dyDescent="0.35">
      <c r="H400" s="1"/>
      <c r="O400" s="1"/>
    </row>
    <row r="401" spans="8:15" x14ac:dyDescent="0.35">
      <c r="H401" s="1"/>
      <c r="O401" s="1"/>
    </row>
    <row r="402" spans="8:15" x14ac:dyDescent="0.35">
      <c r="H402" s="1"/>
      <c r="O402" s="1"/>
    </row>
    <row r="403" spans="8:15" x14ac:dyDescent="0.35">
      <c r="H403" s="1"/>
      <c r="O403" s="1"/>
    </row>
    <row r="404" spans="8:15" x14ac:dyDescent="0.35">
      <c r="H404" s="1"/>
      <c r="O404" s="1"/>
    </row>
    <row r="405" spans="8:15" x14ac:dyDescent="0.35">
      <c r="H405" s="1"/>
      <c r="O405" s="1"/>
    </row>
    <row r="406" spans="8:15" x14ac:dyDescent="0.35">
      <c r="H406" s="1"/>
      <c r="O406" s="1"/>
    </row>
    <row r="407" spans="8:15" x14ac:dyDescent="0.35">
      <c r="H407" s="1"/>
      <c r="O407" s="1"/>
    </row>
    <row r="408" spans="8:15" x14ac:dyDescent="0.35">
      <c r="H408" s="1"/>
      <c r="O408" s="1"/>
    </row>
    <row r="409" spans="8:15" x14ac:dyDescent="0.35">
      <c r="H409" s="1"/>
      <c r="O409" s="1"/>
    </row>
    <row r="410" spans="8:15" x14ac:dyDescent="0.35">
      <c r="H410" s="1"/>
      <c r="O410" s="1"/>
    </row>
    <row r="411" spans="8:15" x14ac:dyDescent="0.35">
      <c r="H411" s="1"/>
      <c r="O411" s="1"/>
    </row>
    <row r="412" spans="8:15" x14ac:dyDescent="0.35">
      <c r="H412" s="1"/>
      <c r="O412" s="1"/>
    </row>
    <row r="413" spans="8:15" x14ac:dyDescent="0.35">
      <c r="H413" s="1"/>
      <c r="O413" s="1"/>
    </row>
    <row r="414" spans="8:15" x14ac:dyDescent="0.35">
      <c r="H414" s="1"/>
      <c r="O414" s="1"/>
    </row>
    <row r="415" spans="8:15" x14ac:dyDescent="0.35">
      <c r="H415" s="1"/>
      <c r="O415" s="1"/>
    </row>
    <row r="416" spans="8:15" x14ac:dyDescent="0.35">
      <c r="H416" s="1"/>
      <c r="O416" s="1"/>
    </row>
    <row r="417" spans="8:15" x14ac:dyDescent="0.35">
      <c r="H417" s="1"/>
      <c r="O417" s="1"/>
    </row>
    <row r="418" spans="8:15" x14ac:dyDescent="0.35">
      <c r="H418" s="1"/>
      <c r="O418" s="1"/>
    </row>
    <row r="419" spans="8:15" x14ac:dyDescent="0.35">
      <c r="H419" s="1"/>
      <c r="O419" s="1"/>
    </row>
    <row r="420" spans="8:15" x14ac:dyDescent="0.35">
      <c r="H420" s="1"/>
      <c r="O420" s="1"/>
    </row>
    <row r="421" spans="8:15" x14ac:dyDescent="0.35">
      <c r="H421" s="1"/>
      <c r="O421" s="1"/>
    </row>
    <row r="422" spans="8:15" x14ac:dyDescent="0.35">
      <c r="H422" s="1"/>
      <c r="O422" s="1"/>
    </row>
    <row r="423" spans="8:15" x14ac:dyDescent="0.35">
      <c r="H423" s="1"/>
      <c r="O423" s="1"/>
    </row>
    <row r="424" spans="8:15" x14ac:dyDescent="0.35">
      <c r="H424" s="1"/>
      <c r="O424" s="1"/>
    </row>
    <row r="425" spans="8:15" x14ac:dyDescent="0.35">
      <c r="H425" s="1"/>
      <c r="O425" s="1"/>
    </row>
    <row r="426" spans="8:15" x14ac:dyDescent="0.35">
      <c r="H426" s="1"/>
      <c r="O426" s="1"/>
    </row>
    <row r="427" spans="8:15" x14ac:dyDescent="0.35">
      <c r="H427" s="1"/>
      <c r="O427" s="1"/>
    </row>
    <row r="428" spans="8:15" x14ac:dyDescent="0.35">
      <c r="H428" s="1"/>
      <c r="O428" s="1"/>
    </row>
    <row r="429" spans="8:15" x14ac:dyDescent="0.35">
      <c r="H429" s="1"/>
      <c r="O429" s="1"/>
    </row>
    <row r="430" spans="8:15" x14ac:dyDescent="0.35">
      <c r="H430" s="1"/>
      <c r="O430" s="1"/>
    </row>
    <row r="431" spans="8:15" x14ac:dyDescent="0.35">
      <c r="H431" s="1"/>
      <c r="O431" s="1"/>
    </row>
    <row r="432" spans="8:15" x14ac:dyDescent="0.35">
      <c r="H432" s="1"/>
      <c r="O432" s="1"/>
    </row>
    <row r="433" spans="8:15" x14ac:dyDescent="0.35">
      <c r="H433" s="1"/>
      <c r="O433" s="1"/>
    </row>
    <row r="434" spans="8:15" x14ac:dyDescent="0.35">
      <c r="H434" s="1"/>
      <c r="O434" s="1"/>
    </row>
    <row r="435" spans="8:15" x14ac:dyDescent="0.35">
      <c r="H435" s="1"/>
      <c r="O435" s="1"/>
    </row>
    <row r="436" spans="8:15" x14ac:dyDescent="0.35">
      <c r="H436" s="1"/>
      <c r="O436" s="1"/>
    </row>
    <row r="437" spans="8:15" x14ac:dyDescent="0.35">
      <c r="H437" s="1"/>
      <c r="O437" s="1"/>
    </row>
    <row r="438" spans="8:15" x14ac:dyDescent="0.35">
      <c r="H438" s="1"/>
      <c r="O438" s="1"/>
    </row>
    <row r="439" spans="8:15" x14ac:dyDescent="0.35">
      <c r="H439" s="1"/>
      <c r="O439" s="1"/>
    </row>
    <row r="440" spans="8:15" x14ac:dyDescent="0.35">
      <c r="H440" s="1"/>
      <c r="O440" s="1"/>
    </row>
    <row r="441" spans="8:15" x14ac:dyDescent="0.35">
      <c r="H441" s="1"/>
      <c r="O441" s="1"/>
    </row>
    <row r="442" spans="8:15" x14ac:dyDescent="0.35">
      <c r="H442" s="1"/>
      <c r="O442" s="1"/>
    </row>
    <row r="443" spans="8:15" x14ac:dyDescent="0.35">
      <c r="H443" s="1"/>
      <c r="O443" s="1"/>
    </row>
    <row r="444" spans="8:15" x14ac:dyDescent="0.35">
      <c r="H444" s="1"/>
      <c r="O444" s="1"/>
    </row>
    <row r="445" spans="8:15" x14ac:dyDescent="0.35">
      <c r="H445" s="1"/>
      <c r="O445" s="1"/>
    </row>
    <row r="446" spans="8:15" x14ac:dyDescent="0.35">
      <c r="H446" s="1"/>
      <c r="O446" s="1"/>
    </row>
    <row r="447" spans="8:15" x14ac:dyDescent="0.35">
      <c r="H447" s="1"/>
      <c r="O447" s="1"/>
    </row>
    <row r="448" spans="8:15" x14ac:dyDescent="0.35">
      <c r="H448" s="1"/>
      <c r="O448" s="1"/>
    </row>
    <row r="449" spans="8:15" x14ac:dyDescent="0.35">
      <c r="H449" s="1"/>
      <c r="O449" s="1"/>
    </row>
    <row r="450" spans="8:15" x14ac:dyDescent="0.35">
      <c r="H450" s="1"/>
      <c r="O450" s="1"/>
    </row>
    <row r="451" spans="8:15" x14ac:dyDescent="0.35">
      <c r="H451" s="1"/>
      <c r="O451" s="1"/>
    </row>
    <row r="452" spans="8:15" x14ac:dyDescent="0.35">
      <c r="H452" s="1"/>
      <c r="O452" s="1"/>
    </row>
    <row r="453" spans="8:15" x14ac:dyDescent="0.35">
      <c r="H453" s="1"/>
      <c r="O453" s="1"/>
    </row>
    <row r="454" spans="8:15" x14ac:dyDescent="0.35">
      <c r="H454" s="1"/>
      <c r="O454" s="1"/>
    </row>
    <row r="455" spans="8:15" x14ac:dyDescent="0.35">
      <c r="H455" s="1"/>
      <c r="O455" s="1"/>
    </row>
    <row r="456" spans="8:15" x14ac:dyDescent="0.35">
      <c r="H456" s="1"/>
      <c r="O456" s="1"/>
    </row>
    <row r="457" spans="8:15" x14ac:dyDescent="0.35">
      <c r="H457" s="1"/>
      <c r="O457" s="1"/>
    </row>
    <row r="458" spans="8:15" x14ac:dyDescent="0.35">
      <c r="H458" s="1"/>
      <c r="O458" s="1"/>
    </row>
    <row r="459" spans="8:15" x14ac:dyDescent="0.35">
      <c r="H459" s="1"/>
      <c r="O459" s="1"/>
    </row>
    <row r="460" spans="8:15" x14ac:dyDescent="0.35">
      <c r="H460" s="1"/>
      <c r="O460" s="1"/>
    </row>
    <row r="461" spans="8:15" x14ac:dyDescent="0.35">
      <c r="H461" s="1"/>
      <c r="O461" s="1"/>
    </row>
    <row r="462" spans="8:15" x14ac:dyDescent="0.35">
      <c r="H462" s="1"/>
      <c r="O462" s="1"/>
    </row>
    <row r="463" spans="8:15" x14ac:dyDescent="0.35">
      <c r="H463" s="1"/>
      <c r="O463" s="1"/>
    </row>
    <row r="464" spans="8:15" x14ac:dyDescent="0.35">
      <c r="H464" s="1"/>
      <c r="O464" s="1"/>
    </row>
    <row r="465" spans="8:15" x14ac:dyDescent="0.35">
      <c r="H465" s="1"/>
      <c r="O465" s="1"/>
    </row>
    <row r="466" spans="8:15" x14ac:dyDescent="0.35">
      <c r="H466" s="1"/>
      <c r="O466" s="1"/>
    </row>
    <row r="467" spans="8:15" x14ac:dyDescent="0.35">
      <c r="H467" s="1"/>
      <c r="O467" s="1"/>
    </row>
    <row r="468" spans="8:15" x14ac:dyDescent="0.35">
      <c r="H468" s="1"/>
      <c r="O468" s="1"/>
    </row>
    <row r="469" spans="8:15" x14ac:dyDescent="0.35">
      <c r="H469" s="1"/>
      <c r="O469" s="1"/>
    </row>
    <row r="470" spans="8:15" x14ac:dyDescent="0.35">
      <c r="H470" s="1"/>
      <c r="O470" s="1"/>
    </row>
    <row r="471" spans="8:15" x14ac:dyDescent="0.35">
      <c r="H471" s="1"/>
      <c r="O471" s="1"/>
    </row>
    <row r="472" spans="8:15" x14ac:dyDescent="0.35">
      <c r="H472" s="1"/>
      <c r="O472" s="1"/>
    </row>
    <row r="473" spans="8:15" x14ac:dyDescent="0.35">
      <c r="H473" s="1"/>
      <c r="O473" s="1"/>
    </row>
    <row r="474" spans="8:15" x14ac:dyDescent="0.35">
      <c r="H474" s="1"/>
      <c r="O474" s="1"/>
    </row>
    <row r="475" spans="8:15" x14ac:dyDescent="0.35">
      <c r="H475" s="1"/>
      <c r="O475" s="1"/>
    </row>
    <row r="476" spans="8:15" x14ac:dyDescent="0.35">
      <c r="H476" s="1"/>
      <c r="O476" s="1"/>
    </row>
    <row r="477" spans="8:15" x14ac:dyDescent="0.35">
      <c r="H477" s="1"/>
      <c r="O477" s="1"/>
    </row>
    <row r="478" spans="8:15" x14ac:dyDescent="0.35">
      <c r="H478" s="1"/>
      <c r="O478" s="1"/>
    </row>
    <row r="479" spans="8:15" x14ac:dyDescent="0.35">
      <c r="H479" s="1"/>
      <c r="O479" s="1"/>
    </row>
    <row r="480" spans="8:15" x14ac:dyDescent="0.35">
      <c r="H480" s="1"/>
      <c r="O480" s="1"/>
    </row>
    <row r="481" spans="8:15" x14ac:dyDescent="0.35">
      <c r="H481" s="1"/>
      <c r="O481" s="1"/>
    </row>
    <row r="482" spans="8:15" x14ac:dyDescent="0.35">
      <c r="H482" s="1"/>
      <c r="O482" s="1"/>
    </row>
    <row r="483" spans="8:15" x14ac:dyDescent="0.35">
      <c r="H483" s="1"/>
      <c r="O483" s="1"/>
    </row>
    <row r="484" spans="8:15" x14ac:dyDescent="0.35">
      <c r="H484" s="1"/>
      <c r="O484" s="1"/>
    </row>
    <row r="485" spans="8:15" x14ac:dyDescent="0.35">
      <c r="H485" s="1"/>
      <c r="O485" s="1"/>
    </row>
    <row r="486" spans="8:15" x14ac:dyDescent="0.35">
      <c r="H486" s="1"/>
      <c r="O486" s="1"/>
    </row>
    <row r="487" spans="8:15" x14ac:dyDescent="0.35">
      <c r="H487" s="1"/>
      <c r="O487" s="1"/>
    </row>
    <row r="488" spans="8:15" x14ac:dyDescent="0.35">
      <c r="H488" s="1"/>
      <c r="O488" s="1"/>
    </row>
    <row r="489" spans="8:15" x14ac:dyDescent="0.35">
      <c r="H489" s="1"/>
      <c r="O489" s="1"/>
    </row>
    <row r="490" spans="8:15" x14ac:dyDescent="0.35">
      <c r="H490" s="1"/>
      <c r="O490" s="1"/>
    </row>
    <row r="491" spans="8:15" x14ac:dyDescent="0.35">
      <c r="H491" s="1"/>
      <c r="O491" s="1"/>
    </row>
    <row r="492" spans="8:15" x14ac:dyDescent="0.35">
      <c r="H492" s="1"/>
      <c r="O492" s="1"/>
    </row>
    <row r="493" spans="8:15" x14ac:dyDescent="0.35">
      <c r="H493" s="1"/>
      <c r="O493" s="1"/>
    </row>
    <row r="494" spans="8:15" x14ac:dyDescent="0.35">
      <c r="H494" s="1"/>
      <c r="O494" s="1"/>
    </row>
    <row r="495" spans="8:15" x14ac:dyDescent="0.35">
      <c r="H495" s="1"/>
      <c r="O495" s="1"/>
    </row>
    <row r="496" spans="8:15" x14ac:dyDescent="0.35">
      <c r="H496" s="1"/>
      <c r="O496" s="1"/>
    </row>
    <row r="497" spans="8:15" x14ac:dyDescent="0.35">
      <c r="H497" s="1"/>
      <c r="O497" s="1"/>
    </row>
    <row r="498" spans="8:15" x14ac:dyDescent="0.35">
      <c r="H498" s="1"/>
      <c r="O498" s="1"/>
    </row>
    <row r="499" spans="8:15" x14ac:dyDescent="0.35">
      <c r="H499" s="1"/>
      <c r="O499" s="1"/>
    </row>
    <row r="500" spans="8:15" x14ac:dyDescent="0.35">
      <c r="H500" s="1"/>
      <c r="O500" s="1"/>
    </row>
    <row r="501" spans="8:15" x14ac:dyDescent="0.35">
      <c r="H501" s="1"/>
      <c r="O501" s="1"/>
    </row>
    <row r="502" spans="8:15" x14ac:dyDescent="0.35">
      <c r="H502" s="1"/>
      <c r="O502" s="1"/>
    </row>
    <row r="503" spans="8:15" x14ac:dyDescent="0.35">
      <c r="H503" s="1"/>
      <c r="O503" s="1"/>
    </row>
    <row r="504" spans="8:15" x14ac:dyDescent="0.35">
      <c r="H504" s="1"/>
      <c r="O504" s="1"/>
    </row>
    <row r="505" spans="8:15" x14ac:dyDescent="0.35">
      <c r="H505" s="1"/>
      <c r="O505" s="1"/>
    </row>
    <row r="506" spans="8:15" x14ac:dyDescent="0.35">
      <c r="H506" s="1"/>
      <c r="O506" s="1"/>
    </row>
    <row r="507" spans="8:15" x14ac:dyDescent="0.35">
      <c r="H507" s="1"/>
      <c r="O507" s="1"/>
    </row>
    <row r="508" spans="8:15" x14ac:dyDescent="0.35">
      <c r="H508" s="1"/>
      <c r="O508" s="1"/>
    </row>
    <row r="509" spans="8:15" x14ac:dyDescent="0.35">
      <c r="H509" s="1"/>
      <c r="O509" s="1"/>
    </row>
    <row r="510" spans="8:15" x14ac:dyDescent="0.35">
      <c r="H510" s="1"/>
      <c r="O510" s="1"/>
    </row>
    <row r="511" spans="8:15" x14ac:dyDescent="0.35">
      <c r="H511" s="1"/>
      <c r="O511" s="1"/>
    </row>
    <row r="512" spans="8:15" x14ac:dyDescent="0.35">
      <c r="H512" s="1"/>
      <c r="O512" s="1"/>
    </row>
    <row r="513" spans="8:15" x14ac:dyDescent="0.35">
      <c r="H513" s="1"/>
      <c r="O513" s="1"/>
    </row>
    <row r="514" spans="8:15" x14ac:dyDescent="0.35">
      <c r="H514" s="1"/>
      <c r="O514" s="1"/>
    </row>
    <row r="515" spans="8:15" x14ac:dyDescent="0.35">
      <c r="H515" s="1"/>
      <c r="O515" s="1"/>
    </row>
    <row r="516" spans="8:15" x14ac:dyDescent="0.35">
      <c r="H516" s="1"/>
      <c r="O516" s="1"/>
    </row>
    <row r="517" spans="8:15" x14ac:dyDescent="0.35">
      <c r="H517" s="1"/>
      <c r="O517" s="1"/>
    </row>
    <row r="518" spans="8:15" x14ac:dyDescent="0.35">
      <c r="H518" s="1"/>
      <c r="O518" s="1"/>
    </row>
    <row r="519" spans="8:15" x14ac:dyDescent="0.35">
      <c r="H519" s="1"/>
      <c r="O519" s="1"/>
    </row>
    <row r="520" spans="8:15" x14ac:dyDescent="0.35">
      <c r="H520" s="1"/>
      <c r="O520" s="1"/>
    </row>
    <row r="521" spans="8:15" x14ac:dyDescent="0.35">
      <c r="H521" s="1"/>
      <c r="O521" s="1"/>
    </row>
    <row r="522" spans="8:15" x14ac:dyDescent="0.35">
      <c r="H522" s="1"/>
      <c r="O522" s="1"/>
    </row>
    <row r="523" spans="8:15" x14ac:dyDescent="0.35">
      <c r="H523" s="1"/>
      <c r="O523" s="1"/>
    </row>
    <row r="524" spans="8:15" x14ac:dyDescent="0.35">
      <c r="H524" s="1"/>
      <c r="O524" s="1"/>
    </row>
    <row r="525" spans="8:15" x14ac:dyDescent="0.35">
      <c r="H525" s="1"/>
      <c r="O525" s="1"/>
    </row>
    <row r="526" spans="8:15" x14ac:dyDescent="0.35">
      <c r="H526" s="1"/>
      <c r="O526" s="1"/>
    </row>
    <row r="527" spans="8:15" x14ac:dyDescent="0.35">
      <c r="H527" s="1"/>
      <c r="O527" s="1"/>
    </row>
    <row r="528" spans="8:15" x14ac:dyDescent="0.35">
      <c r="H528" s="1"/>
      <c r="O528" s="1"/>
    </row>
    <row r="529" spans="8:15" x14ac:dyDescent="0.35">
      <c r="H529" s="1"/>
      <c r="O529" s="1"/>
    </row>
    <row r="530" spans="8:15" x14ac:dyDescent="0.35">
      <c r="H530" s="1"/>
      <c r="O530" s="1"/>
    </row>
    <row r="531" spans="8:15" x14ac:dyDescent="0.35">
      <c r="H531" s="1"/>
      <c r="O531" s="1"/>
    </row>
    <row r="532" spans="8:15" x14ac:dyDescent="0.35">
      <c r="H532" s="1"/>
      <c r="O532" s="1"/>
    </row>
    <row r="533" spans="8:15" x14ac:dyDescent="0.35">
      <c r="H533" s="1"/>
      <c r="O533" s="1"/>
    </row>
    <row r="534" spans="8:15" x14ac:dyDescent="0.35">
      <c r="H534" s="1"/>
      <c r="O534" s="1"/>
    </row>
    <row r="535" spans="8:15" x14ac:dyDescent="0.35">
      <c r="H535" s="1"/>
      <c r="O535" s="1"/>
    </row>
    <row r="536" spans="8:15" x14ac:dyDescent="0.35">
      <c r="H536" s="1"/>
      <c r="O536" s="1"/>
    </row>
    <row r="537" spans="8:15" x14ac:dyDescent="0.35">
      <c r="H537" s="1"/>
      <c r="O537" s="1"/>
    </row>
    <row r="538" spans="8:15" x14ac:dyDescent="0.35">
      <c r="H538" s="1"/>
      <c r="O538" s="1"/>
    </row>
    <row r="539" spans="8:15" x14ac:dyDescent="0.35">
      <c r="H539" s="1"/>
      <c r="O539" s="1"/>
    </row>
    <row r="540" spans="8:15" x14ac:dyDescent="0.35">
      <c r="H540" s="1"/>
      <c r="O540" s="1"/>
    </row>
    <row r="541" spans="8:15" x14ac:dyDescent="0.35">
      <c r="H541" s="1"/>
      <c r="O541" s="1"/>
    </row>
    <row r="542" spans="8:15" x14ac:dyDescent="0.35">
      <c r="H542" s="1"/>
      <c r="O542" s="1"/>
    </row>
    <row r="543" spans="8:15" x14ac:dyDescent="0.35">
      <c r="H543" s="1"/>
      <c r="O543" s="1"/>
    </row>
    <row r="544" spans="8:15" x14ac:dyDescent="0.35">
      <c r="H544" s="1"/>
      <c r="O544" s="1"/>
    </row>
    <row r="545" spans="8:15" x14ac:dyDescent="0.35">
      <c r="H545" s="1"/>
      <c r="O545" s="1"/>
    </row>
    <row r="546" spans="8:15" x14ac:dyDescent="0.35">
      <c r="H546" s="1"/>
      <c r="O546" s="1"/>
    </row>
    <row r="547" spans="8:15" x14ac:dyDescent="0.35">
      <c r="H547" s="1"/>
      <c r="O547" s="1"/>
    </row>
    <row r="548" spans="8:15" x14ac:dyDescent="0.35">
      <c r="H548" s="1"/>
      <c r="O548" s="1"/>
    </row>
    <row r="549" spans="8:15" x14ac:dyDescent="0.35">
      <c r="H549" s="1"/>
      <c r="O549" s="1"/>
    </row>
    <row r="550" spans="8:15" x14ac:dyDescent="0.35">
      <c r="H550" s="1"/>
      <c r="O550" s="1"/>
    </row>
    <row r="551" spans="8:15" x14ac:dyDescent="0.35">
      <c r="H551" s="1"/>
      <c r="O551" s="1"/>
    </row>
    <row r="552" spans="8:15" x14ac:dyDescent="0.35">
      <c r="H552" s="1"/>
      <c r="O552" s="1"/>
    </row>
    <row r="553" spans="8:15" x14ac:dyDescent="0.35">
      <c r="H553" s="1"/>
      <c r="O553" s="1"/>
    </row>
    <row r="554" spans="8:15" x14ac:dyDescent="0.35">
      <c r="H554" s="1"/>
      <c r="O554" s="1"/>
    </row>
    <row r="555" spans="8:15" x14ac:dyDescent="0.35">
      <c r="H555" s="1"/>
      <c r="O555" s="1"/>
    </row>
    <row r="556" spans="8:15" x14ac:dyDescent="0.35">
      <c r="H556" s="1"/>
      <c r="O556" s="1"/>
    </row>
    <row r="557" spans="8:15" x14ac:dyDescent="0.35">
      <c r="H557" s="1"/>
      <c r="O557" s="1"/>
    </row>
    <row r="558" spans="8:15" x14ac:dyDescent="0.35">
      <c r="H558" s="1"/>
      <c r="O558" s="1"/>
    </row>
    <row r="559" spans="8:15" x14ac:dyDescent="0.35">
      <c r="H559" s="1"/>
      <c r="O559" s="1"/>
    </row>
    <row r="560" spans="8:15" x14ac:dyDescent="0.35">
      <c r="H560" s="1"/>
      <c r="O560" s="1"/>
    </row>
    <row r="561" spans="8:15" x14ac:dyDescent="0.35">
      <c r="H561" s="1"/>
      <c r="O561" s="1"/>
    </row>
    <row r="562" spans="8:15" x14ac:dyDescent="0.35">
      <c r="H562" s="1"/>
      <c r="O562" s="1"/>
    </row>
    <row r="563" spans="8:15" x14ac:dyDescent="0.35">
      <c r="H563" s="1"/>
      <c r="O563" s="1"/>
    </row>
    <row r="564" spans="8:15" x14ac:dyDescent="0.35">
      <c r="H564" s="1"/>
      <c r="O564" s="1"/>
    </row>
    <row r="565" spans="8:15" x14ac:dyDescent="0.35">
      <c r="H565" s="1"/>
      <c r="O565" s="1"/>
    </row>
    <row r="566" spans="8:15" x14ac:dyDescent="0.35">
      <c r="H566" s="1"/>
      <c r="O566" s="1"/>
    </row>
    <row r="567" spans="8:15" x14ac:dyDescent="0.35">
      <c r="H567" s="1"/>
      <c r="O567" s="1"/>
    </row>
    <row r="568" spans="8:15" x14ac:dyDescent="0.35">
      <c r="H568" s="1"/>
      <c r="O568" s="1"/>
    </row>
    <row r="569" spans="8:15" x14ac:dyDescent="0.35">
      <c r="H569" s="1"/>
      <c r="O569" s="1"/>
    </row>
    <row r="570" spans="8:15" x14ac:dyDescent="0.35">
      <c r="H570" s="1"/>
      <c r="O570" s="1"/>
    </row>
    <row r="571" spans="8:15" x14ac:dyDescent="0.35">
      <c r="H571" s="1"/>
      <c r="O571" s="1"/>
    </row>
    <row r="572" spans="8:15" x14ac:dyDescent="0.35">
      <c r="H572" s="1"/>
      <c r="O572" s="1"/>
    </row>
    <row r="573" spans="8:15" x14ac:dyDescent="0.35">
      <c r="H573" s="1"/>
      <c r="O573" s="1"/>
    </row>
    <row r="574" spans="8:15" x14ac:dyDescent="0.35">
      <c r="H574" s="1"/>
      <c r="O574" s="1"/>
    </row>
    <row r="575" spans="8:15" x14ac:dyDescent="0.35">
      <c r="H575" s="1"/>
      <c r="O575" s="1"/>
    </row>
    <row r="576" spans="8:15" x14ac:dyDescent="0.35">
      <c r="H576" s="1"/>
      <c r="O576" s="1"/>
    </row>
    <row r="577" spans="8:15" x14ac:dyDescent="0.35">
      <c r="H577" s="1"/>
      <c r="O577" s="1"/>
    </row>
    <row r="578" spans="8:15" x14ac:dyDescent="0.35">
      <c r="H578" s="1"/>
      <c r="O578" s="1"/>
    </row>
    <row r="579" spans="8:15" x14ac:dyDescent="0.35">
      <c r="H579" s="1"/>
      <c r="O579" s="1"/>
    </row>
    <row r="580" spans="8:15" x14ac:dyDescent="0.35">
      <c r="H580" s="1"/>
      <c r="O580" s="1"/>
    </row>
    <row r="581" spans="8:15" x14ac:dyDescent="0.35">
      <c r="H581" s="1"/>
      <c r="O581" s="1"/>
    </row>
    <row r="582" spans="8:15" x14ac:dyDescent="0.35">
      <c r="H582" s="1"/>
      <c r="O582" s="1"/>
    </row>
    <row r="583" spans="8:15" x14ac:dyDescent="0.35">
      <c r="H583" s="1"/>
      <c r="O583" s="1"/>
    </row>
    <row r="584" spans="8:15" x14ac:dyDescent="0.35">
      <c r="H584" s="1"/>
      <c r="O584" s="1"/>
    </row>
    <row r="585" spans="8:15" x14ac:dyDescent="0.35">
      <c r="H585" s="1"/>
      <c r="O585" s="1"/>
    </row>
    <row r="586" spans="8:15" x14ac:dyDescent="0.35">
      <c r="H586" s="1"/>
      <c r="O586" s="1"/>
    </row>
    <row r="587" spans="8:15" x14ac:dyDescent="0.35">
      <c r="H587" s="1"/>
      <c r="O587" s="1"/>
    </row>
    <row r="588" spans="8:15" x14ac:dyDescent="0.35">
      <c r="H588" s="1"/>
      <c r="O588" s="1"/>
    </row>
    <row r="589" spans="8:15" x14ac:dyDescent="0.35">
      <c r="H589" s="1"/>
      <c r="O589" s="1"/>
    </row>
    <row r="590" spans="8:15" x14ac:dyDescent="0.35">
      <c r="H590" s="1"/>
      <c r="O590" s="1"/>
    </row>
    <row r="591" spans="8:15" x14ac:dyDescent="0.35">
      <c r="H591" s="1"/>
      <c r="O591" s="1"/>
    </row>
    <row r="592" spans="8:15" x14ac:dyDescent="0.35">
      <c r="H592" s="1"/>
      <c r="O592" s="1"/>
    </row>
    <row r="593" spans="8:15" x14ac:dyDescent="0.35">
      <c r="H593" s="1"/>
      <c r="O593" s="1"/>
    </row>
    <row r="594" spans="8:15" x14ac:dyDescent="0.35">
      <c r="H594" s="1"/>
      <c r="O594" s="1"/>
    </row>
    <row r="595" spans="8:15" x14ac:dyDescent="0.35">
      <c r="H595" s="1"/>
      <c r="O595" s="1"/>
    </row>
    <row r="596" spans="8:15" x14ac:dyDescent="0.35">
      <c r="H596" s="1"/>
      <c r="O596" s="1"/>
    </row>
    <row r="597" spans="8:15" x14ac:dyDescent="0.35">
      <c r="H597" s="1"/>
      <c r="O597" s="1"/>
    </row>
    <row r="598" spans="8:15" x14ac:dyDescent="0.35">
      <c r="H598" s="1"/>
      <c r="O598" s="1"/>
    </row>
    <row r="599" spans="8:15" x14ac:dyDescent="0.35">
      <c r="H599" s="1"/>
      <c r="O599" s="1"/>
    </row>
    <row r="600" spans="8:15" x14ac:dyDescent="0.35">
      <c r="H600" s="1"/>
      <c r="O600" s="1"/>
    </row>
    <row r="601" spans="8:15" x14ac:dyDescent="0.35">
      <c r="H601" s="1"/>
      <c r="O601" s="1"/>
    </row>
    <row r="602" spans="8:15" x14ac:dyDescent="0.35">
      <c r="H602" s="1"/>
      <c r="O602" s="1"/>
    </row>
    <row r="603" spans="8:15" x14ac:dyDescent="0.35">
      <c r="H603" s="1"/>
      <c r="O603" s="1"/>
    </row>
    <row r="604" spans="8:15" x14ac:dyDescent="0.35">
      <c r="H604" s="1"/>
      <c r="O604" s="1"/>
    </row>
    <row r="605" spans="8:15" x14ac:dyDescent="0.35">
      <c r="H605" s="1"/>
      <c r="O605" s="1"/>
    </row>
    <row r="606" spans="8:15" x14ac:dyDescent="0.35">
      <c r="H606" s="1"/>
      <c r="O606" s="1"/>
    </row>
    <row r="607" spans="8:15" x14ac:dyDescent="0.35">
      <c r="H607" s="1"/>
      <c r="O607" s="1"/>
    </row>
    <row r="608" spans="8:15" x14ac:dyDescent="0.35">
      <c r="H608" s="1"/>
      <c r="O608" s="1"/>
    </row>
    <row r="609" spans="8:15" x14ac:dyDescent="0.35">
      <c r="H609" s="1"/>
      <c r="O609" s="1"/>
    </row>
    <row r="610" spans="8:15" x14ac:dyDescent="0.35">
      <c r="H610" s="1"/>
      <c r="O610" s="1"/>
    </row>
    <row r="611" spans="8:15" x14ac:dyDescent="0.35">
      <c r="H611" s="1"/>
      <c r="O611" s="1"/>
    </row>
    <row r="612" spans="8:15" x14ac:dyDescent="0.35">
      <c r="H612" s="1"/>
      <c r="O612" s="1"/>
    </row>
    <row r="613" spans="8:15" x14ac:dyDescent="0.35">
      <c r="H613" s="1"/>
      <c r="O613" s="1"/>
    </row>
    <row r="614" spans="8:15" x14ac:dyDescent="0.35">
      <c r="H614" s="1"/>
      <c r="O614" s="1"/>
    </row>
    <row r="615" spans="8:15" x14ac:dyDescent="0.35">
      <c r="H615" s="1"/>
      <c r="O615" s="1"/>
    </row>
    <row r="616" spans="8:15" x14ac:dyDescent="0.35">
      <c r="H616" s="1"/>
      <c r="O616" s="1"/>
    </row>
    <row r="617" spans="8:15" x14ac:dyDescent="0.35">
      <c r="H617" s="1"/>
      <c r="O617" s="1"/>
    </row>
    <row r="618" spans="8:15" x14ac:dyDescent="0.35">
      <c r="H618" s="1"/>
      <c r="O618" s="1"/>
    </row>
    <row r="619" spans="8:15" x14ac:dyDescent="0.35">
      <c r="H619" s="1"/>
      <c r="O619" s="1"/>
    </row>
    <row r="620" spans="8:15" x14ac:dyDescent="0.35">
      <c r="H620" s="1"/>
      <c r="O620" s="1"/>
    </row>
    <row r="621" spans="8:15" x14ac:dyDescent="0.35">
      <c r="H621" s="1"/>
      <c r="O621" s="1"/>
    </row>
    <row r="622" spans="8:15" x14ac:dyDescent="0.35">
      <c r="H622" s="1"/>
      <c r="O622" s="1"/>
    </row>
    <row r="623" spans="8:15" x14ac:dyDescent="0.35">
      <c r="H623" s="1"/>
      <c r="O623" s="1"/>
    </row>
    <row r="624" spans="8:15" x14ac:dyDescent="0.35">
      <c r="H624" s="1"/>
      <c r="O624" s="1"/>
    </row>
    <row r="625" spans="8:15" x14ac:dyDescent="0.35">
      <c r="H625" s="1"/>
      <c r="O625" s="1"/>
    </row>
    <row r="626" spans="8:15" x14ac:dyDescent="0.35">
      <c r="H626" s="1"/>
      <c r="O626" s="1"/>
    </row>
    <row r="627" spans="8:15" x14ac:dyDescent="0.35">
      <c r="H627" s="1"/>
      <c r="O627" s="1"/>
    </row>
    <row r="628" spans="8:15" x14ac:dyDescent="0.35">
      <c r="H628" s="1"/>
      <c r="O628" s="1"/>
    </row>
    <row r="629" spans="8:15" x14ac:dyDescent="0.35">
      <c r="H629" s="1"/>
      <c r="O629" s="1"/>
    </row>
    <row r="630" spans="8:15" x14ac:dyDescent="0.35">
      <c r="H630" s="1"/>
      <c r="O630" s="1"/>
    </row>
    <row r="631" spans="8:15" x14ac:dyDescent="0.35">
      <c r="H631" s="1"/>
      <c r="O631" s="1"/>
    </row>
    <row r="632" spans="8:15" x14ac:dyDescent="0.35">
      <c r="H632" s="1"/>
      <c r="O632" s="1"/>
    </row>
    <row r="633" spans="8:15" x14ac:dyDescent="0.35">
      <c r="H633" s="1"/>
      <c r="O633" s="1"/>
    </row>
    <row r="634" spans="8:15" x14ac:dyDescent="0.35">
      <c r="H634" s="1"/>
      <c r="O634" s="1"/>
    </row>
    <row r="635" spans="8:15" x14ac:dyDescent="0.35">
      <c r="H635" s="1"/>
      <c r="O635" s="1"/>
    </row>
    <row r="636" spans="8:15" x14ac:dyDescent="0.35">
      <c r="H636" s="1"/>
      <c r="O636" s="1"/>
    </row>
    <row r="637" spans="8:15" x14ac:dyDescent="0.35">
      <c r="H637" s="1"/>
      <c r="O637" s="1"/>
    </row>
    <row r="638" spans="8:15" x14ac:dyDescent="0.35">
      <c r="H638" s="1"/>
      <c r="O638" s="1"/>
    </row>
    <row r="639" spans="8:15" x14ac:dyDescent="0.35">
      <c r="H639" s="1"/>
      <c r="O639" s="1"/>
    </row>
    <row r="640" spans="8:15" x14ac:dyDescent="0.35">
      <c r="H640" s="1"/>
      <c r="O640" s="1"/>
    </row>
    <row r="641" spans="8:15" x14ac:dyDescent="0.35">
      <c r="H641" s="1"/>
      <c r="O641" s="1"/>
    </row>
    <row r="642" spans="8:15" x14ac:dyDescent="0.35">
      <c r="H642" s="1"/>
      <c r="O642" s="1"/>
    </row>
    <row r="643" spans="8:15" x14ac:dyDescent="0.35">
      <c r="H643" s="1"/>
      <c r="O643" s="1"/>
    </row>
    <row r="644" spans="8:15" x14ac:dyDescent="0.35">
      <c r="H644" s="1"/>
      <c r="O644" s="1"/>
    </row>
    <row r="645" spans="8:15" x14ac:dyDescent="0.35">
      <c r="H645" s="1"/>
      <c r="O645" s="1"/>
    </row>
    <row r="646" spans="8:15" x14ac:dyDescent="0.35">
      <c r="H646" s="1"/>
      <c r="O646" s="1"/>
    </row>
    <row r="647" spans="8:15" x14ac:dyDescent="0.35">
      <c r="H647" s="1"/>
      <c r="O647" s="1"/>
    </row>
    <row r="648" spans="8:15" x14ac:dyDescent="0.35">
      <c r="H648" s="1"/>
      <c r="O648" s="1"/>
    </row>
    <row r="649" spans="8:15" x14ac:dyDescent="0.35">
      <c r="H649" s="1"/>
    </row>
    <row r="650" spans="8:15" x14ac:dyDescent="0.35">
      <c r="H650" s="1"/>
    </row>
    <row r="651" spans="8:15" x14ac:dyDescent="0.35">
      <c r="H651" s="1"/>
    </row>
    <row r="652" spans="8:15" x14ac:dyDescent="0.35">
      <c r="H652" s="1"/>
    </row>
    <row r="653" spans="8:15" x14ac:dyDescent="0.35">
      <c r="H653" s="1"/>
    </row>
    <row r="654" spans="8:15" x14ac:dyDescent="0.35">
      <c r="H654" s="1"/>
    </row>
    <row r="655" spans="8:15" x14ac:dyDescent="0.35">
      <c r="H655" s="1"/>
    </row>
    <row r="656" spans="8:15" x14ac:dyDescent="0.35">
      <c r="H656" s="1"/>
    </row>
    <row r="657" spans="8:8" x14ac:dyDescent="0.35">
      <c r="H657" s="1"/>
    </row>
    <row r="658" spans="8:8" x14ac:dyDescent="0.35">
      <c r="H658" s="1"/>
    </row>
    <row r="659" spans="8:8" x14ac:dyDescent="0.35">
      <c r="H659" s="1"/>
    </row>
    <row r="660" spans="8:8" x14ac:dyDescent="0.35">
      <c r="H660" s="1"/>
    </row>
    <row r="661" spans="8:8" x14ac:dyDescent="0.35">
      <c r="H661" s="1"/>
    </row>
    <row r="662" spans="8:8" x14ac:dyDescent="0.35">
      <c r="H662" s="1"/>
    </row>
    <row r="663" spans="8:8" x14ac:dyDescent="0.35">
      <c r="H663" s="1"/>
    </row>
    <row r="664" spans="8:8" x14ac:dyDescent="0.35">
      <c r="H664" s="1"/>
    </row>
    <row r="665" spans="8:8" x14ac:dyDescent="0.35">
      <c r="H665" s="1"/>
    </row>
    <row r="666" spans="8:8" x14ac:dyDescent="0.35">
      <c r="H666" s="1"/>
    </row>
    <row r="667" spans="8:8" x14ac:dyDescent="0.35">
      <c r="H667" s="1"/>
    </row>
    <row r="668" spans="8:8" x14ac:dyDescent="0.35">
      <c r="H668" s="1"/>
    </row>
    <row r="669" spans="8:8" x14ac:dyDescent="0.35">
      <c r="H669" s="1"/>
    </row>
    <row r="670" spans="8:8" x14ac:dyDescent="0.35">
      <c r="H670" s="1"/>
    </row>
    <row r="671" spans="8:8" x14ac:dyDescent="0.35">
      <c r="H671" s="1"/>
    </row>
    <row r="672" spans="8:8" x14ac:dyDescent="0.35">
      <c r="H672" s="1"/>
    </row>
    <row r="673" spans="8:8" x14ac:dyDescent="0.35">
      <c r="H673" s="1"/>
    </row>
    <row r="674" spans="8:8" x14ac:dyDescent="0.35">
      <c r="H674" s="1"/>
    </row>
    <row r="675" spans="8:8" x14ac:dyDescent="0.35">
      <c r="H675" s="1"/>
    </row>
    <row r="676" spans="8:8" x14ac:dyDescent="0.35">
      <c r="H676" s="1"/>
    </row>
    <row r="677" spans="8:8" x14ac:dyDescent="0.35">
      <c r="H677" s="1"/>
    </row>
    <row r="678" spans="8:8" x14ac:dyDescent="0.35">
      <c r="H678" s="1"/>
    </row>
    <row r="679" spans="8:8" x14ac:dyDescent="0.35">
      <c r="H679" s="1"/>
    </row>
    <row r="680" spans="8:8" x14ac:dyDescent="0.35">
      <c r="H680" s="1"/>
    </row>
    <row r="681" spans="8:8" x14ac:dyDescent="0.35">
      <c r="H681" s="1"/>
    </row>
    <row r="682" spans="8:8" x14ac:dyDescent="0.35">
      <c r="H682" s="1"/>
    </row>
    <row r="683" spans="8:8" x14ac:dyDescent="0.35">
      <c r="H683" s="1"/>
    </row>
    <row r="684" spans="8:8" x14ac:dyDescent="0.35">
      <c r="H684" s="1"/>
    </row>
    <row r="685" spans="8:8" x14ac:dyDescent="0.35">
      <c r="H685" s="1"/>
    </row>
    <row r="686" spans="8:8" x14ac:dyDescent="0.35">
      <c r="H686" s="1"/>
    </row>
    <row r="687" spans="8:8" x14ac:dyDescent="0.35">
      <c r="H687" s="1"/>
    </row>
    <row r="688" spans="8:8" x14ac:dyDescent="0.35">
      <c r="H688" s="1"/>
    </row>
    <row r="689" spans="8:8" x14ac:dyDescent="0.35">
      <c r="H689" s="1"/>
    </row>
    <row r="690" spans="8:8" x14ac:dyDescent="0.35">
      <c r="H690" s="1"/>
    </row>
    <row r="691" spans="8:8" x14ac:dyDescent="0.35">
      <c r="H691" s="1"/>
    </row>
    <row r="692" spans="8:8" x14ac:dyDescent="0.35">
      <c r="H692" s="1"/>
    </row>
    <row r="693" spans="8:8" x14ac:dyDescent="0.35">
      <c r="H693" s="1"/>
    </row>
    <row r="694" spans="8:8" x14ac:dyDescent="0.35">
      <c r="H694" s="1"/>
    </row>
    <row r="695" spans="8:8" x14ac:dyDescent="0.35">
      <c r="H695" s="1"/>
    </row>
    <row r="696" spans="8:8" x14ac:dyDescent="0.35">
      <c r="H696" s="1"/>
    </row>
    <row r="697" spans="8:8" x14ac:dyDescent="0.35">
      <c r="H697" s="1"/>
    </row>
    <row r="698" spans="8:8" x14ac:dyDescent="0.35">
      <c r="H698" s="1"/>
    </row>
    <row r="699" spans="8:8" x14ac:dyDescent="0.35">
      <c r="H699" s="1"/>
    </row>
    <row r="700" spans="8:8" x14ac:dyDescent="0.35">
      <c r="H700" s="1"/>
    </row>
    <row r="701" spans="8:8" x14ac:dyDescent="0.35">
      <c r="H701" s="1"/>
    </row>
    <row r="702" spans="8:8" x14ac:dyDescent="0.35">
      <c r="H702" s="1"/>
    </row>
    <row r="703" spans="8:8" x14ac:dyDescent="0.35">
      <c r="H703" s="1"/>
    </row>
    <row r="704" spans="8:8" x14ac:dyDescent="0.35">
      <c r="H704" s="1"/>
    </row>
    <row r="705" spans="8:8" x14ac:dyDescent="0.35">
      <c r="H705" s="1"/>
    </row>
    <row r="706" spans="8:8" x14ac:dyDescent="0.35">
      <c r="H706" s="1"/>
    </row>
    <row r="707" spans="8:8" x14ac:dyDescent="0.35">
      <c r="H707" s="1"/>
    </row>
    <row r="708" spans="8:8" x14ac:dyDescent="0.35">
      <c r="H708" s="1"/>
    </row>
    <row r="709" spans="8:8" x14ac:dyDescent="0.35">
      <c r="H709" s="1"/>
    </row>
    <row r="710" spans="8:8" x14ac:dyDescent="0.35">
      <c r="H710" s="1"/>
    </row>
    <row r="711" spans="8:8" x14ac:dyDescent="0.35">
      <c r="H711" s="1"/>
    </row>
    <row r="712" spans="8:8" x14ac:dyDescent="0.35">
      <c r="H712" s="1"/>
    </row>
    <row r="713" spans="8:8" x14ac:dyDescent="0.35">
      <c r="H713" s="1"/>
    </row>
    <row r="714" spans="8:8" x14ac:dyDescent="0.35">
      <c r="H714" s="1"/>
    </row>
    <row r="715" spans="8:8" x14ac:dyDescent="0.35">
      <c r="H715" s="1"/>
    </row>
    <row r="716" spans="8:8" x14ac:dyDescent="0.35">
      <c r="H716" s="1"/>
    </row>
    <row r="717" spans="8:8" x14ac:dyDescent="0.35">
      <c r="H717" s="1"/>
    </row>
    <row r="718" spans="8:8" x14ac:dyDescent="0.35">
      <c r="H718" s="1"/>
    </row>
    <row r="719" spans="8:8" x14ac:dyDescent="0.35">
      <c r="H719" s="1"/>
    </row>
    <row r="720" spans="8:8" x14ac:dyDescent="0.35">
      <c r="H720" s="1"/>
    </row>
    <row r="721" spans="8:8" x14ac:dyDescent="0.35">
      <c r="H721" s="1"/>
    </row>
    <row r="722" spans="8:8" x14ac:dyDescent="0.35">
      <c r="H722" s="1"/>
    </row>
    <row r="723" spans="8:8" x14ac:dyDescent="0.35">
      <c r="H723" s="1"/>
    </row>
    <row r="724" spans="8:8" x14ac:dyDescent="0.35">
      <c r="H724" s="1"/>
    </row>
    <row r="725" spans="8:8" x14ac:dyDescent="0.35">
      <c r="H725" s="1"/>
    </row>
    <row r="726" spans="8:8" x14ac:dyDescent="0.35">
      <c r="H726" s="1"/>
    </row>
    <row r="727" spans="8:8" x14ac:dyDescent="0.35">
      <c r="H727" s="1"/>
    </row>
    <row r="728" spans="8:8" x14ac:dyDescent="0.35">
      <c r="H728" s="1"/>
    </row>
    <row r="729" spans="8:8" x14ac:dyDescent="0.35">
      <c r="H729" s="1"/>
    </row>
    <row r="730" spans="8:8" x14ac:dyDescent="0.35">
      <c r="H730" s="1"/>
    </row>
    <row r="731" spans="8:8" x14ac:dyDescent="0.35">
      <c r="H731" s="1"/>
    </row>
    <row r="732" spans="8:8" x14ac:dyDescent="0.35">
      <c r="H732" s="1"/>
    </row>
    <row r="733" spans="8:8" x14ac:dyDescent="0.35">
      <c r="H733" s="1"/>
    </row>
    <row r="734" spans="8:8" x14ac:dyDescent="0.35">
      <c r="H734" s="1"/>
    </row>
    <row r="735" spans="8:8" x14ac:dyDescent="0.35">
      <c r="H735" s="1"/>
    </row>
    <row r="736" spans="8:8" x14ac:dyDescent="0.35">
      <c r="H736" s="1"/>
    </row>
    <row r="737" spans="8:8" x14ac:dyDescent="0.35">
      <c r="H737" s="1"/>
    </row>
    <row r="738" spans="8:8" x14ac:dyDescent="0.35">
      <c r="H738" s="1"/>
    </row>
    <row r="739" spans="8:8" x14ac:dyDescent="0.35">
      <c r="H739" s="1"/>
    </row>
    <row r="740" spans="8:8" x14ac:dyDescent="0.35">
      <c r="H740" s="1"/>
    </row>
    <row r="741" spans="8:8" x14ac:dyDescent="0.35">
      <c r="H741" s="1"/>
    </row>
    <row r="742" spans="8:8" x14ac:dyDescent="0.35">
      <c r="H742" s="1"/>
    </row>
    <row r="743" spans="8:8" x14ac:dyDescent="0.35">
      <c r="H743" s="1"/>
    </row>
    <row r="744" spans="8:8" x14ac:dyDescent="0.35">
      <c r="H744" s="1"/>
    </row>
    <row r="745" spans="8:8" x14ac:dyDescent="0.35">
      <c r="H745" s="1"/>
    </row>
    <row r="746" spans="8:8" x14ac:dyDescent="0.35">
      <c r="H746" s="1"/>
    </row>
    <row r="747" spans="8:8" x14ac:dyDescent="0.35">
      <c r="H747" s="1"/>
    </row>
    <row r="748" spans="8:8" x14ac:dyDescent="0.35">
      <c r="H748" s="1"/>
    </row>
    <row r="749" spans="8:8" x14ac:dyDescent="0.35">
      <c r="H749" s="1"/>
    </row>
    <row r="750" spans="8:8" x14ac:dyDescent="0.35">
      <c r="H750" s="1"/>
    </row>
    <row r="751" spans="8:8" x14ac:dyDescent="0.35">
      <c r="H751" s="1"/>
    </row>
    <row r="752" spans="8:8" x14ac:dyDescent="0.35">
      <c r="H752" s="1"/>
    </row>
    <row r="753" spans="8:8" x14ac:dyDescent="0.35">
      <c r="H753" s="1"/>
    </row>
    <row r="754" spans="8:8" x14ac:dyDescent="0.35">
      <c r="H754" s="1"/>
    </row>
    <row r="755" spans="8:8" x14ac:dyDescent="0.35">
      <c r="H755" s="1"/>
    </row>
    <row r="756" spans="8:8" x14ac:dyDescent="0.35">
      <c r="H756" s="1"/>
    </row>
    <row r="757" spans="8:8" x14ac:dyDescent="0.35">
      <c r="H757" s="1"/>
    </row>
    <row r="758" spans="8:8" x14ac:dyDescent="0.35">
      <c r="H758" s="1"/>
    </row>
    <row r="759" spans="8:8" x14ac:dyDescent="0.35">
      <c r="H759" s="1"/>
    </row>
    <row r="760" spans="8:8" x14ac:dyDescent="0.35">
      <c r="H760" s="1"/>
    </row>
    <row r="761" spans="8:8" x14ac:dyDescent="0.35">
      <c r="H761" s="1"/>
    </row>
    <row r="762" spans="8:8" x14ac:dyDescent="0.35">
      <c r="H762" s="1"/>
    </row>
    <row r="763" spans="8:8" x14ac:dyDescent="0.35">
      <c r="H763" s="1"/>
    </row>
    <row r="764" spans="8:8" x14ac:dyDescent="0.35">
      <c r="H764" s="1"/>
    </row>
    <row r="765" spans="8:8" x14ac:dyDescent="0.35">
      <c r="H765" s="1"/>
    </row>
    <row r="766" spans="8:8" x14ac:dyDescent="0.35">
      <c r="H766" s="1"/>
    </row>
    <row r="767" spans="8:8" x14ac:dyDescent="0.35">
      <c r="H767" s="1"/>
    </row>
    <row r="768" spans="8:8" x14ac:dyDescent="0.35">
      <c r="H768" s="1"/>
    </row>
    <row r="769" spans="8:8" x14ac:dyDescent="0.35">
      <c r="H769" s="1"/>
    </row>
    <row r="770" spans="8:8" x14ac:dyDescent="0.35">
      <c r="H770" s="1"/>
    </row>
    <row r="771" spans="8:8" x14ac:dyDescent="0.35">
      <c r="H771" s="1"/>
    </row>
    <row r="772" spans="8:8" x14ac:dyDescent="0.35">
      <c r="H772" s="1"/>
    </row>
    <row r="773" spans="8:8" x14ac:dyDescent="0.35">
      <c r="H773" s="1"/>
    </row>
    <row r="774" spans="8:8" x14ac:dyDescent="0.35">
      <c r="H774" s="1"/>
    </row>
    <row r="775" spans="8:8" x14ac:dyDescent="0.35">
      <c r="H775" s="1"/>
    </row>
    <row r="776" spans="8:8" x14ac:dyDescent="0.35">
      <c r="H776" s="1"/>
    </row>
    <row r="777" spans="8:8" x14ac:dyDescent="0.35">
      <c r="H777" s="1"/>
    </row>
    <row r="778" spans="8:8" x14ac:dyDescent="0.35">
      <c r="H778" s="1"/>
    </row>
    <row r="779" spans="8:8" x14ac:dyDescent="0.35">
      <c r="H779" s="1"/>
    </row>
    <row r="780" spans="8:8" x14ac:dyDescent="0.35">
      <c r="H780" s="1"/>
    </row>
    <row r="781" spans="8:8" x14ac:dyDescent="0.35">
      <c r="H781" s="1"/>
    </row>
    <row r="782" spans="8:8" x14ac:dyDescent="0.35">
      <c r="H782" s="1"/>
    </row>
    <row r="783" spans="8:8" x14ac:dyDescent="0.35">
      <c r="H783" s="1"/>
    </row>
    <row r="784" spans="8:8" x14ac:dyDescent="0.35">
      <c r="H784" s="1"/>
    </row>
    <row r="785" spans="8:8" x14ac:dyDescent="0.35">
      <c r="H785" s="1"/>
    </row>
    <row r="786" spans="8:8" x14ac:dyDescent="0.35">
      <c r="H786" s="1"/>
    </row>
    <row r="787" spans="8:8" x14ac:dyDescent="0.35">
      <c r="H787" s="1"/>
    </row>
    <row r="788" spans="8:8" x14ac:dyDescent="0.35">
      <c r="H788" s="1"/>
    </row>
    <row r="789" spans="8:8" x14ac:dyDescent="0.35">
      <c r="H789" s="1"/>
    </row>
    <row r="790" spans="8:8" x14ac:dyDescent="0.35">
      <c r="H790" s="1"/>
    </row>
    <row r="791" spans="8:8" x14ac:dyDescent="0.35">
      <c r="H791" s="1"/>
    </row>
    <row r="792" spans="8:8" x14ac:dyDescent="0.35">
      <c r="H792" s="1"/>
    </row>
    <row r="793" spans="8:8" x14ac:dyDescent="0.35">
      <c r="H793" s="1"/>
    </row>
    <row r="794" spans="8:8" x14ac:dyDescent="0.35">
      <c r="H794" s="1"/>
    </row>
    <row r="795" spans="8:8" x14ac:dyDescent="0.35">
      <c r="H795" s="1"/>
    </row>
    <row r="796" spans="8:8" x14ac:dyDescent="0.35">
      <c r="H796" s="1"/>
    </row>
    <row r="797" spans="8:8" x14ac:dyDescent="0.35">
      <c r="H797" s="1"/>
    </row>
    <row r="798" spans="8:8" x14ac:dyDescent="0.35">
      <c r="H798" s="1"/>
    </row>
    <row r="799" spans="8:8" x14ac:dyDescent="0.35">
      <c r="H799" s="1"/>
    </row>
    <row r="800" spans="8:8" x14ac:dyDescent="0.35">
      <c r="H800" s="1"/>
    </row>
    <row r="801" spans="8:8" x14ac:dyDescent="0.35">
      <c r="H801" s="1"/>
    </row>
    <row r="802" spans="8:8" x14ac:dyDescent="0.35">
      <c r="H802" s="1"/>
    </row>
    <row r="803" spans="8:8" x14ac:dyDescent="0.35">
      <c r="H803" s="1"/>
    </row>
    <row r="804" spans="8:8" x14ac:dyDescent="0.35">
      <c r="H804" s="1"/>
    </row>
    <row r="805" spans="8:8" x14ac:dyDescent="0.35">
      <c r="H805" s="1"/>
    </row>
    <row r="806" spans="8:8" x14ac:dyDescent="0.35">
      <c r="H806" s="1"/>
    </row>
    <row r="807" spans="8:8" x14ac:dyDescent="0.35">
      <c r="H807" s="1"/>
    </row>
    <row r="808" spans="8:8" x14ac:dyDescent="0.35">
      <c r="H808" s="1"/>
    </row>
    <row r="809" spans="8:8" x14ac:dyDescent="0.35">
      <c r="H809" s="1"/>
    </row>
    <row r="810" spans="8:8" x14ac:dyDescent="0.35">
      <c r="H810" s="1"/>
    </row>
    <row r="811" spans="8:8" x14ac:dyDescent="0.35">
      <c r="H811" s="1"/>
    </row>
    <row r="812" spans="8:8" x14ac:dyDescent="0.35">
      <c r="H812" s="1"/>
    </row>
    <row r="813" spans="8:8" x14ac:dyDescent="0.35">
      <c r="H813" s="1"/>
    </row>
    <row r="814" spans="8:8" x14ac:dyDescent="0.35">
      <c r="H814" s="1"/>
    </row>
    <row r="815" spans="8:8" x14ac:dyDescent="0.35">
      <c r="H815" s="1"/>
    </row>
    <row r="816" spans="8:8" x14ac:dyDescent="0.35">
      <c r="H816" s="1"/>
    </row>
    <row r="817" spans="8:8" x14ac:dyDescent="0.35">
      <c r="H817" s="1"/>
    </row>
    <row r="818" spans="8:8" x14ac:dyDescent="0.35">
      <c r="H818" s="1"/>
    </row>
    <row r="819" spans="8:8" x14ac:dyDescent="0.35">
      <c r="H819" s="1"/>
    </row>
    <row r="820" spans="8:8" x14ac:dyDescent="0.35">
      <c r="H820" s="1"/>
    </row>
    <row r="821" spans="8:8" x14ac:dyDescent="0.35">
      <c r="H821" s="1"/>
    </row>
    <row r="822" spans="8:8" x14ac:dyDescent="0.35">
      <c r="H822" s="1"/>
    </row>
    <row r="823" spans="8:8" x14ac:dyDescent="0.35">
      <c r="H823" s="1"/>
    </row>
    <row r="824" spans="8:8" x14ac:dyDescent="0.35">
      <c r="H824" s="1"/>
    </row>
    <row r="825" spans="8:8" x14ac:dyDescent="0.35">
      <c r="H825" s="1"/>
    </row>
    <row r="826" spans="8:8" x14ac:dyDescent="0.35">
      <c r="H826" s="1"/>
    </row>
    <row r="827" spans="8:8" x14ac:dyDescent="0.35">
      <c r="H827" s="1"/>
    </row>
    <row r="828" spans="8:8" x14ac:dyDescent="0.35">
      <c r="H828" s="1"/>
    </row>
    <row r="829" spans="8:8" x14ac:dyDescent="0.35">
      <c r="H829" s="1"/>
    </row>
    <row r="830" spans="8:8" x14ac:dyDescent="0.35">
      <c r="H830" s="1"/>
    </row>
    <row r="831" spans="8:8" x14ac:dyDescent="0.35">
      <c r="H831" s="1"/>
    </row>
    <row r="832" spans="8:8" x14ac:dyDescent="0.35">
      <c r="H832" s="1"/>
    </row>
    <row r="833" spans="8:8" x14ac:dyDescent="0.35">
      <c r="H833" s="1"/>
    </row>
    <row r="834" spans="8:8" x14ac:dyDescent="0.35">
      <c r="H834" s="1"/>
    </row>
    <row r="835" spans="8:8" x14ac:dyDescent="0.35">
      <c r="H835" s="1"/>
    </row>
    <row r="836" spans="8:8" x14ac:dyDescent="0.35">
      <c r="H836" s="1"/>
    </row>
    <row r="837" spans="8:8" x14ac:dyDescent="0.35">
      <c r="H837" s="1"/>
    </row>
    <row r="838" spans="8:8" x14ac:dyDescent="0.35">
      <c r="H838" s="1"/>
    </row>
    <row r="839" spans="8:8" x14ac:dyDescent="0.35">
      <c r="H839" s="1"/>
    </row>
    <row r="840" spans="8:8" x14ac:dyDescent="0.35">
      <c r="H840" s="1"/>
    </row>
    <row r="841" spans="8:8" x14ac:dyDescent="0.35">
      <c r="H841" s="1"/>
    </row>
    <row r="842" spans="8:8" x14ac:dyDescent="0.35">
      <c r="H842" s="1"/>
    </row>
    <row r="843" spans="8:8" x14ac:dyDescent="0.35">
      <c r="H843" s="1"/>
    </row>
    <row r="844" spans="8:8" x14ac:dyDescent="0.35">
      <c r="H844" s="1"/>
    </row>
    <row r="845" spans="8:8" x14ac:dyDescent="0.35">
      <c r="H845" s="1"/>
    </row>
    <row r="846" spans="8:8" x14ac:dyDescent="0.35">
      <c r="H846" s="1"/>
    </row>
    <row r="847" spans="8:8" x14ac:dyDescent="0.35">
      <c r="H847" s="1"/>
    </row>
    <row r="848" spans="8:8" x14ac:dyDescent="0.35">
      <c r="H848" s="1"/>
    </row>
    <row r="849" spans="8:8" x14ac:dyDescent="0.35">
      <c r="H849" s="1"/>
    </row>
    <row r="850" spans="8:8" x14ac:dyDescent="0.35">
      <c r="H850" s="1"/>
    </row>
    <row r="851" spans="8:8" x14ac:dyDescent="0.35">
      <c r="H851" s="1"/>
    </row>
    <row r="852" spans="8:8" x14ac:dyDescent="0.35">
      <c r="H852" s="1"/>
    </row>
    <row r="853" spans="8:8" x14ac:dyDescent="0.35">
      <c r="H853" s="1"/>
    </row>
    <row r="854" spans="8:8" x14ac:dyDescent="0.35">
      <c r="H854" s="1"/>
    </row>
    <row r="855" spans="8:8" x14ac:dyDescent="0.35">
      <c r="H855" s="1"/>
    </row>
    <row r="856" spans="8:8" x14ac:dyDescent="0.35">
      <c r="H856" s="1"/>
    </row>
    <row r="857" spans="8:8" x14ac:dyDescent="0.35">
      <c r="H857" s="1"/>
    </row>
    <row r="858" spans="8:8" x14ac:dyDescent="0.35">
      <c r="H858" s="1"/>
    </row>
    <row r="859" spans="8:8" x14ac:dyDescent="0.35">
      <c r="H859" s="1"/>
    </row>
    <row r="860" spans="8:8" x14ac:dyDescent="0.35">
      <c r="H860" s="1"/>
    </row>
    <row r="861" spans="8:8" x14ac:dyDescent="0.35">
      <c r="H861" s="1"/>
    </row>
    <row r="862" spans="8:8" x14ac:dyDescent="0.35">
      <c r="H862" s="1"/>
    </row>
    <row r="863" spans="8:8" x14ac:dyDescent="0.35">
      <c r="H863" s="1"/>
    </row>
    <row r="864" spans="8:8" x14ac:dyDescent="0.35">
      <c r="H864" s="1"/>
    </row>
    <row r="865" spans="8:8" x14ac:dyDescent="0.35">
      <c r="H865" s="1"/>
    </row>
    <row r="866" spans="8:8" x14ac:dyDescent="0.35">
      <c r="H866" s="1"/>
    </row>
    <row r="867" spans="8:8" x14ac:dyDescent="0.35">
      <c r="H867" s="1"/>
    </row>
    <row r="868" spans="8:8" x14ac:dyDescent="0.35">
      <c r="H868" s="1"/>
    </row>
    <row r="869" spans="8:8" x14ac:dyDescent="0.35">
      <c r="H869" s="1"/>
    </row>
    <row r="870" spans="8:8" x14ac:dyDescent="0.35">
      <c r="H870" s="1"/>
    </row>
    <row r="871" spans="8:8" x14ac:dyDescent="0.35">
      <c r="H871" s="1"/>
    </row>
    <row r="872" spans="8:8" x14ac:dyDescent="0.35">
      <c r="H872" s="1"/>
    </row>
    <row r="873" spans="8:8" x14ac:dyDescent="0.35">
      <c r="H873" s="1"/>
    </row>
    <row r="874" spans="8:8" x14ac:dyDescent="0.35">
      <c r="H874" s="1"/>
    </row>
    <row r="875" spans="8:8" x14ac:dyDescent="0.35">
      <c r="H875" s="1"/>
    </row>
    <row r="876" spans="8:8" x14ac:dyDescent="0.35">
      <c r="H876" s="1"/>
    </row>
    <row r="877" spans="8:8" x14ac:dyDescent="0.35">
      <c r="H877" s="1"/>
    </row>
    <row r="878" spans="8:8" x14ac:dyDescent="0.35">
      <c r="H878" s="1"/>
    </row>
    <row r="879" spans="8:8" x14ac:dyDescent="0.35">
      <c r="H879" s="1"/>
    </row>
    <row r="880" spans="8:8" x14ac:dyDescent="0.35">
      <c r="H880" s="1"/>
    </row>
    <row r="881" spans="8:8" x14ac:dyDescent="0.35">
      <c r="H881" s="1"/>
    </row>
    <row r="882" spans="8:8" x14ac:dyDescent="0.35">
      <c r="H882" s="1"/>
    </row>
    <row r="883" spans="8:8" x14ac:dyDescent="0.35">
      <c r="H883" s="1"/>
    </row>
    <row r="884" spans="8:8" x14ac:dyDescent="0.35">
      <c r="H884" s="1"/>
    </row>
    <row r="885" spans="8:8" x14ac:dyDescent="0.35">
      <c r="H885" s="1"/>
    </row>
    <row r="886" spans="8:8" x14ac:dyDescent="0.35">
      <c r="H886" s="1"/>
    </row>
    <row r="887" spans="8:8" x14ac:dyDescent="0.35">
      <c r="H887" s="1"/>
    </row>
    <row r="888" spans="8:8" x14ac:dyDescent="0.35">
      <c r="H888" s="1"/>
    </row>
    <row r="889" spans="8:8" x14ac:dyDescent="0.35">
      <c r="H889" s="1"/>
    </row>
    <row r="890" spans="8:8" x14ac:dyDescent="0.35">
      <c r="H890" s="1"/>
    </row>
    <row r="891" spans="8:8" x14ac:dyDescent="0.35">
      <c r="H891" s="1"/>
    </row>
    <row r="892" spans="8:8" x14ac:dyDescent="0.35">
      <c r="H892" s="1"/>
    </row>
    <row r="893" spans="8:8" x14ac:dyDescent="0.35">
      <c r="H893" s="1"/>
    </row>
    <row r="894" spans="8:8" x14ac:dyDescent="0.35">
      <c r="H894" s="1"/>
    </row>
    <row r="895" spans="8:8" x14ac:dyDescent="0.35">
      <c r="H895" s="1"/>
    </row>
    <row r="896" spans="8:8" x14ac:dyDescent="0.35">
      <c r="H896" s="1"/>
    </row>
    <row r="897" spans="8:8" x14ac:dyDescent="0.35">
      <c r="H897" s="1"/>
    </row>
    <row r="898" spans="8:8" x14ac:dyDescent="0.35">
      <c r="H898" s="1"/>
    </row>
    <row r="899" spans="8:8" x14ac:dyDescent="0.35">
      <c r="H899" s="1"/>
    </row>
    <row r="900" spans="8:8" x14ac:dyDescent="0.35">
      <c r="H900" s="1"/>
    </row>
    <row r="901" spans="8:8" x14ac:dyDescent="0.35">
      <c r="H901" s="1"/>
    </row>
    <row r="902" spans="8:8" x14ac:dyDescent="0.35">
      <c r="H902" s="1"/>
    </row>
    <row r="903" spans="8:8" x14ac:dyDescent="0.35">
      <c r="H903" s="1"/>
    </row>
    <row r="904" spans="8:8" x14ac:dyDescent="0.35">
      <c r="H904" s="1"/>
    </row>
    <row r="905" spans="8:8" x14ac:dyDescent="0.35">
      <c r="H905" s="1"/>
    </row>
    <row r="906" spans="8:8" x14ac:dyDescent="0.35">
      <c r="H906" s="1"/>
    </row>
    <row r="907" spans="8:8" x14ac:dyDescent="0.35">
      <c r="H907" s="1"/>
    </row>
    <row r="908" spans="8:8" x14ac:dyDescent="0.35">
      <c r="H908" s="1"/>
    </row>
    <row r="909" spans="8:8" x14ac:dyDescent="0.35">
      <c r="H909" s="1"/>
    </row>
    <row r="910" spans="8:8" x14ac:dyDescent="0.35">
      <c r="H910" s="1"/>
    </row>
    <row r="911" spans="8:8" x14ac:dyDescent="0.35">
      <c r="H911" s="1"/>
    </row>
    <row r="912" spans="8:8" x14ac:dyDescent="0.35">
      <c r="H912" s="1"/>
    </row>
    <row r="913" spans="8:8" x14ac:dyDescent="0.35">
      <c r="H913" s="1"/>
    </row>
    <row r="914" spans="8:8" x14ac:dyDescent="0.35">
      <c r="H914" s="1"/>
    </row>
    <row r="915" spans="8:8" x14ac:dyDescent="0.35">
      <c r="H915" s="1"/>
    </row>
    <row r="916" spans="8:8" x14ac:dyDescent="0.35">
      <c r="H916" s="1"/>
    </row>
    <row r="917" spans="8:8" x14ac:dyDescent="0.35">
      <c r="H917" s="1"/>
    </row>
    <row r="918" spans="8:8" x14ac:dyDescent="0.35">
      <c r="H918" s="1"/>
    </row>
    <row r="919" spans="8:8" x14ac:dyDescent="0.35">
      <c r="H919" s="1"/>
    </row>
    <row r="920" spans="8:8" x14ac:dyDescent="0.35">
      <c r="H920" s="1"/>
    </row>
    <row r="921" spans="8:8" x14ac:dyDescent="0.35">
      <c r="H921" s="1"/>
    </row>
    <row r="922" spans="8:8" x14ac:dyDescent="0.35">
      <c r="H922" s="1"/>
    </row>
    <row r="923" spans="8:8" x14ac:dyDescent="0.35">
      <c r="H923" s="1"/>
    </row>
    <row r="924" spans="8:8" x14ac:dyDescent="0.35">
      <c r="H924" s="1"/>
    </row>
    <row r="925" spans="8:8" x14ac:dyDescent="0.35">
      <c r="H925" s="1"/>
    </row>
    <row r="926" spans="8:8" x14ac:dyDescent="0.35">
      <c r="H926" s="1"/>
    </row>
    <row r="927" spans="8:8" x14ac:dyDescent="0.35">
      <c r="H927" s="1"/>
    </row>
    <row r="928" spans="8:8" x14ac:dyDescent="0.35">
      <c r="H928" s="1"/>
    </row>
    <row r="929" spans="8:8" x14ac:dyDescent="0.35">
      <c r="H929" s="1"/>
    </row>
    <row r="930" spans="8:8" x14ac:dyDescent="0.35">
      <c r="H930" s="1"/>
    </row>
    <row r="931" spans="8:8" x14ac:dyDescent="0.35">
      <c r="H931" s="1"/>
    </row>
    <row r="932" spans="8:8" x14ac:dyDescent="0.35">
      <c r="H932" s="1"/>
    </row>
    <row r="933" spans="8:8" x14ac:dyDescent="0.35">
      <c r="H933" s="1"/>
    </row>
    <row r="934" spans="8:8" x14ac:dyDescent="0.35">
      <c r="H934" s="1"/>
    </row>
    <row r="935" spans="8:8" x14ac:dyDescent="0.35">
      <c r="H935" s="1"/>
    </row>
    <row r="936" spans="8:8" x14ac:dyDescent="0.35">
      <c r="H936" s="1"/>
    </row>
    <row r="937" spans="8:8" x14ac:dyDescent="0.35">
      <c r="H937" s="1"/>
    </row>
    <row r="938" spans="8:8" x14ac:dyDescent="0.35">
      <c r="H938" s="1"/>
    </row>
    <row r="939" spans="8:8" x14ac:dyDescent="0.35">
      <c r="H939" s="1"/>
    </row>
    <row r="940" spans="8:8" x14ac:dyDescent="0.35">
      <c r="H940" s="1"/>
    </row>
    <row r="941" spans="8:8" x14ac:dyDescent="0.35">
      <c r="H941" s="1"/>
    </row>
    <row r="942" spans="8:8" x14ac:dyDescent="0.35">
      <c r="H942" s="1"/>
    </row>
    <row r="943" spans="8:8" x14ac:dyDescent="0.35">
      <c r="H943" s="1"/>
    </row>
    <row r="944" spans="8:8" x14ac:dyDescent="0.35">
      <c r="H944" s="1"/>
    </row>
    <row r="945" spans="8:8" x14ac:dyDescent="0.35">
      <c r="H945" s="1"/>
    </row>
    <row r="946" spans="8:8" x14ac:dyDescent="0.35">
      <c r="H946" s="1"/>
    </row>
    <row r="947" spans="8:8" x14ac:dyDescent="0.35">
      <c r="H947" s="1"/>
    </row>
    <row r="948" spans="8:8" x14ac:dyDescent="0.35">
      <c r="H948" s="1"/>
    </row>
    <row r="949" spans="8:8" x14ac:dyDescent="0.35">
      <c r="H949" s="1"/>
    </row>
    <row r="950" spans="8:8" x14ac:dyDescent="0.35">
      <c r="H950" s="1"/>
    </row>
    <row r="951" spans="8:8" x14ac:dyDescent="0.35">
      <c r="H951" s="1"/>
    </row>
    <row r="952" spans="8:8" x14ac:dyDescent="0.35">
      <c r="H952" s="1"/>
    </row>
    <row r="953" spans="8:8" x14ac:dyDescent="0.35">
      <c r="H953" s="1"/>
    </row>
    <row r="954" spans="8:8" x14ac:dyDescent="0.35">
      <c r="H954" s="1"/>
    </row>
    <row r="955" spans="8:8" x14ac:dyDescent="0.35">
      <c r="H955" s="1"/>
    </row>
    <row r="956" spans="8:8" x14ac:dyDescent="0.35">
      <c r="H956" s="1"/>
    </row>
    <row r="957" spans="8:8" x14ac:dyDescent="0.35">
      <c r="H957" s="1"/>
    </row>
    <row r="958" spans="8:8" x14ac:dyDescent="0.35">
      <c r="H958" s="1"/>
    </row>
    <row r="959" spans="8:8" x14ac:dyDescent="0.35">
      <c r="H959" s="1"/>
    </row>
    <row r="960" spans="8:8" x14ac:dyDescent="0.35">
      <c r="H960" s="1"/>
    </row>
    <row r="961" spans="8:8" x14ac:dyDescent="0.35">
      <c r="H961" s="1"/>
    </row>
    <row r="962" spans="8:8" x14ac:dyDescent="0.35">
      <c r="H962" s="1"/>
    </row>
    <row r="963" spans="8:8" x14ac:dyDescent="0.35">
      <c r="H963" s="1"/>
    </row>
    <row r="964" spans="8:8" x14ac:dyDescent="0.35">
      <c r="H964" s="1"/>
    </row>
    <row r="965" spans="8:8" x14ac:dyDescent="0.35">
      <c r="H965" s="1"/>
    </row>
    <row r="966" spans="8:8" x14ac:dyDescent="0.35">
      <c r="H966" s="1"/>
    </row>
    <row r="967" spans="8:8" x14ac:dyDescent="0.35">
      <c r="H967" s="1"/>
    </row>
    <row r="968" spans="8:8" x14ac:dyDescent="0.35">
      <c r="H968" s="1"/>
    </row>
    <row r="969" spans="8:8" x14ac:dyDescent="0.35">
      <c r="H969" s="1"/>
    </row>
    <row r="970" spans="8:8" x14ac:dyDescent="0.35">
      <c r="H970" s="1"/>
    </row>
    <row r="971" spans="8:8" x14ac:dyDescent="0.35">
      <c r="H971" s="1"/>
    </row>
    <row r="972" spans="8:8" x14ac:dyDescent="0.35">
      <c r="H972" s="1"/>
    </row>
    <row r="973" spans="8:8" x14ac:dyDescent="0.35">
      <c r="H973" s="1"/>
    </row>
    <row r="974" spans="8:8" x14ac:dyDescent="0.35">
      <c r="H974" s="1"/>
    </row>
    <row r="975" spans="8:8" x14ac:dyDescent="0.35">
      <c r="H975" s="1"/>
    </row>
    <row r="976" spans="8:8" x14ac:dyDescent="0.35">
      <c r="H976" s="1"/>
    </row>
    <row r="977" spans="8:8" x14ac:dyDescent="0.35">
      <c r="H977" s="1"/>
    </row>
    <row r="978" spans="8:8" x14ac:dyDescent="0.35">
      <c r="H978" s="1"/>
    </row>
    <row r="979" spans="8:8" x14ac:dyDescent="0.35">
      <c r="H979" s="1"/>
    </row>
    <row r="980" spans="8:8" x14ac:dyDescent="0.35">
      <c r="H980" s="1"/>
    </row>
    <row r="981" spans="8:8" x14ac:dyDescent="0.35">
      <c r="H981" s="1"/>
    </row>
    <row r="982" spans="8:8" x14ac:dyDescent="0.35">
      <c r="H982" s="1"/>
    </row>
    <row r="983" spans="8:8" x14ac:dyDescent="0.35">
      <c r="H983" s="1"/>
    </row>
    <row r="984" spans="8:8" x14ac:dyDescent="0.35">
      <c r="H984" s="1"/>
    </row>
    <row r="985" spans="8:8" x14ac:dyDescent="0.35">
      <c r="H985" s="1"/>
    </row>
    <row r="986" spans="8:8" x14ac:dyDescent="0.35">
      <c r="H986" s="1"/>
    </row>
    <row r="987" spans="8:8" x14ac:dyDescent="0.35">
      <c r="H987" s="1"/>
    </row>
    <row r="988" spans="8:8" x14ac:dyDescent="0.35">
      <c r="H988" s="1"/>
    </row>
    <row r="989" spans="8:8" x14ac:dyDescent="0.35">
      <c r="H989" s="1"/>
    </row>
    <row r="990" spans="8:8" x14ac:dyDescent="0.35">
      <c r="H990" s="1"/>
    </row>
    <row r="991" spans="8:8" x14ac:dyDescent="0.35">
      <c r="H991" s="1"/>
    </row>
    <row r="992" spans="8:8" x14ac:dyDescent="0.35">
      <c r="H992" s="1"/>
    </row>
    <row r="993" spans="8:8" x14ac:dyDescent="0.35">
      <c r="H993" s="1"/>
    </row>
    <row r="994" spans="8:8" x14ac:dyDescent="0.35">
      <c r="H994" s="1"/>
    </row>
    <row r="995" spans="8:8" x14ac:dyDescent="0.35">
      <c r="H995" s="1"/>
    </row>
    <row r="996" spans="8:8" x14ac:dyDescent="0.35">
      <c r="H996" s="1"/>
    </row>
    <row r="997" spans="8:8" x14ac:dyDescent="0.35">
      <c r="H997" s="1"/>
    </row>
    <row r="998" spans="8:8" x14ac:dyDescent="0.35">
      <c r="H998" s="1"/>
    </row>
    <row r="999" spans="8:8" x14ac:dyDescent="0.35">
      <c r="H999" s="1"/>
    </row>
    <row r="1000" spans="8:8" x14ac:dyDescent="0.35">
      <c r="H1000" s="1"/>
    </row>
    <row r="1001" spans="8:8" x14ac:dyDescent="0.35">
      <c r="H1001" s="1"/>
    </row>
    <row r="1002" spans="8:8" x14ac:dyDescent="0.35">
      <c r="H1002" s="1"/>
    </row>
    <row r="1003" spans="8:8" x14ac:dyDescent="0.35">
      <c r="H1003" s="1"/>
    </row>
    <row r="1004" spans="8:8" x14ac:dyDescent="0.35">
      <c r="H1004" s="1"/>
    </row>
    <row r="1005" spans="8:8" x14ac:dyDescent="0.35">
      <c r="H1005" s="1"/>
    </row>
    <row r="1006" spans="8:8" x14ac:dyDescent="0.35">
      <c r="H1006" s="1"/>
    </row>
    <row r="1007" spans="8:8" x14ac:dyDescent="0.35">
      <c r="H1007" s="1"/>
    </row>
    <row r="1008" spans="8:8" x14ac:dyDescent="0.35">
      <c r="H1008" s="1"/>
    </row>
    <row r="1009" spans="8:8" x14ac:dyDescent="0.35">
      <c r="H1009" s="1"/>
    </row>
    <row r="1010" spans="8:8" x14ac:dyDescent="0.35">
      <c r="H1010" s="1"/>
    </row>
    <row r="1011" spans="8:8" x14ac:dyDescent="0.35">
      <c r="H1011" s="1"/>
    </row>
    <row r="1012" spans="8:8" x14ac:dyDescent="0.35">
      <c r="H1012" s="1"/>
    </row>
    <row r="1013" spans="8:8" x14ac:dyDescent="0.35">
      <c r="H1013" s="1"/>
    </row>
    <row r="1014" spans="8:8" x14ac:dyDescent="0.35">
      <c r="H1014" s="1"/>
    </row>
    <row r="1015" spans="8:8" x14ac:dyDescent="0.35">
      <c r="H1015" s="1"/>
    </row>
    <row r="1016" spans="8:8" x14ac:dyDescent="0.35">
      <c r="H1016" s="1"/>
    </row>
    <row r="1017" spans="8:8" x14ac:dyDescent="0.35">
      <c r="H1017" s="1"/>
    </row>
    <row r="1018" spans="8:8" x14ac:dyDescent="0.35">
      <c r="H1018" s="1"/>
    </row>
    <row r="1019" spans="8:8" x14ac:dyDescent="0.35">
      <c r="H1019" s="1"/>
    </row>
    <row r="1020" spans="8:8" x14ac:dyDescent="0.35">
      <c r="H1020" s="1"/>
    </row>
    <row r="1021" spans="8:8" x14ac:dyDescent="0.35">
      <c r="H1021" s="1"/>
    </row>
    <row r="1022" spans="8:8" x14ac:dyDescent="0.35">
      <c r="H1022" s="1"/>
    </row>
    <row r="1023" spans="8:8" x14ac:dyDescent="0.35">
      <c r="H1023" s="1"/>
    </row>
    <row r="1024" spans="8:8" x14ac:dyDescent="0.35">
      <c r="H1024" s="1"/>
    </row>
    <row r="1025" spans="8:8" x14ac:dyDescent="0.35">
      <c r="H1025" s="1"/>
    </row>
    <row r="1026" spans="8:8" x14ac:dyDescent="0.35">
      <c r="H1026" s="1"/>
    </row>
    <row r="1027" spans="8:8" x14ac:dyDescent="0.35">
      <c r="H1027" s="1"/>
    </row>
    <row r="1028" spans="8:8" x14ac:dyDescent="0.35">
      <c r="H1028" s="1"/>
    </row>
    <row r="1029" spans="8:8" x14ac:dyDescent="0.35">
      <c r="H1029" s="1"/>
    </row>
    <row r="1030" spans="8:8" x14ac:dyDescent="0.35">
      <c r="H1030" s="1"/>
    </row>
    <row r="1031" spans="8:8" x14ac:dyDescent="0.35">
      <c r="H1031" s="1"/>
    </row>
    <row r="1032" spans="8:8" x14ac:dyDescent="0.35">
      <c r="H1032" s="1"/>
    </row>
    <row r="1033" spans="8:8" x14ac:dyDescent="0.35">
      <c r="H1033" s="1"/>
    </row>
    <row r="1034" spans="8:8" x14ac:dyDescent="0.35">
      <c r="H1034" s="1"/>
    </row>
    <row r="1035" spans="8:8" x14ac:dyDescent="0.35">
      <c r="H1035" s="1"/>
    </row>
    <row r="1036" spans="8:8" x14ac:dyDescent="0.35">
      <c r="H1036" s="1"/>
    </row>
    <row r="1037" spans="8:8" x14ac:dyDescent="0.35">
      <c r="H1037" s="1"/>
    </row>
    <row r="1038" spans="8:8" x14ac:dyDescent="0.35">
      <c r="H1038" s="1"/>
    </row>
    <row r="1039" spans="8:8" x14ac:dyDescent="0.35">
      <c r="H1039" s="1"/>
    </row>
    <row r="1040" spans="8:8" x14ac:dyDescent="0.35">
      <c r="H1040" s="1"/>
    </row>
    <row r="1041" spans="8:8" x14ac:dyDescent="0.35">
      <c r="H1041" s="1"/>
    </row>
    <row r="1042" spans="8:8" x14ac:dyDescent="0.35">
      <c r="H1042" s="1"/>
    </row>
    <row r="1043" spans="8:8" x14ac:dyDescent="0.35">
      <c r="H1043" s="1"/>
    </row>
    <row r="1044" spans="8:8" x14ac:dyDescent="0.35">
      <c r="H1044" s="1"/>
    </row>
    <row r="1045" spans="8:8" x14ac:dyDescent="0.35">
      <c r="H1045" s="1"/>
    </row>
    <row r="1046" spans="8:8" x14ac:dyDescent="0.35">
      <c r="H1046" s="1"/>
    </row>
    <row r="1047" spans="8:8" x14ac:dyDescent="0.35">
      <c r="H1047" s="1"/>
    </row>
    <row r="1048" spans="8:8" x14ac:dyDescent="0.35">
      <c r="H1048" s="1"/>
    </row>
    <row r="1049" spans="8:8" x14ac:dyDescent="0.35">
      <c r="H1049" s="1"/>
    </row>
    <row r="1050" spans="8:8" x14ac:dyDescent="0.35">
      <c r="H1050" s="1"/>
    </row>
    <row r="1051" spans="8:8" x14ac:dyDescent="0.35">
      <c r="H1051" s="1"/>
    </row>
    <row r="1052" spans="8:8" x14ac:dyDescent="0.35">
      <c r="H1052" s="1"/>
    </row>
    <row r="1053" spans="8:8" x14ac:dyDescent="0.35">
      <c r="H1053" s="1"/>
    </row>
    <row r="1054" spans="8:8" x14ac:dyDescent="0.35">
      <c r="H1054" s="1"/>
    </row>
    <row r="1055" spans="8:8" x14ac:dyDescent="0.35">
      <c r="H1055" s="1"/>
    </row>
    <row r="1056" spans="8:8" x14ac:dyDescent="0.35">
      <c r="H1056" s="1"/>
    </row>
    <row r="1057" spans="8:8" x14ac:dyDescent="0.35">
      <c r="H1057" s="1"/>
    </row>
    <row r="1058" spans="8:8" x14ac:dyDescent="0.35">
      <c r="H1058" s="1"/>
    </row>
    <row r="1059" spans="8:8" x14ac:dyDescent="0.35">
      <c r="H1059" s="1"/>
    </row>
    <row r="1060" spans="8:8" x14ac:dyDescent="0.35">
      <c r="H1060" s="1"/>
    </row>
    <row r="1061" spans="8:8" x14ac:dyDescent="0.35">
      <c r="H1061" s="1"/>
    </row>
    <row r="1062" spans="8:8" x14ac:dyDescent="0.35">
      <c r="H1062" s="1"/>
    </row>
    <row r="1063" spans="8:8" x14ac:dyDescent="0.35">
      <c r="H1063" s="1"/>
    </row>
    <row r="1064" spans="8:8" x14ac:dyDescent="0.35">
      <c r="H1064" s="1"/>
    </row>
    <row r="1065" spans="8:8" x14ac:dyDescent="0.35">
      <c r="H1065" s="1"/>
    </row>
    <row r="1066" spans="8:8" x14ac:dyDescent="0.35">
      <c r="H1066" s="1"/>
    </row>
    <row r="1067" spans="8:8" x14ac:dyDescent="0.35">
      <c r="H1067" s="1"/>
    </row>
    <row r="1068" spans="8:8" x14ac:dyDescent="0.35">
      <c r="H1068" s="1"/>
    </row>
    <row r="1069" spans="8:8" x14ac:dyDescent="0.35">
      <c r="H1069" s="1"/>
    </row>
    <row r="1070" spans="8:8" x14ac:dyDescent="0.35">
      <c r="H1070" s="1"/>
    </row>
    <row r="1071" spans="8:8" x14ac:dyDescent="0.35">
      <c r="H1071" s="1"/>
    </row>
    <row r="1072" spans="8:8" x14ac:dyDescent="0.35">
      <c r="H1072" s="1"/>
    </row>
    <row r="1073" spans="8:8" x14ac:dyDescent="0.35">
      <c r="H1073" s="1"/>
    </row>
    <row r="1074" spans="8:8" x14ac:dyDescent="0.35">
      <c r="H1074" s="1"/>
    </row>
    <row r="1075" spans="8:8" x14ac:dyDescent="0.35">
      <c r="H1075" s="1"/>
    </row>
    <row r="1076" spans="8:8" x14ac:dyDescent="0.35">
      <c r="H1076" s="1"/>
    </row>
    <row r="1077" spans="8:8" x14ac:dyDescent="0.35">
      <c r="H1077" s="1"/>
    </row>
    <row r="1078" spans="8:8" x14ac:dyDescent="0.35">
      <c r="H1078" s="1"/>
    </row>
    <row r="1079" spans="8:8" x14ac:dyDescent="0.35">
      <c r="H1079" s="1"/>
    </row>
    <row r="1080" spans="8:8" x14ac:dyDescent="0.35">
      <c r="H1080" s="1"/>
    </row>
    <row r="1081" spans="8:8" x14ac:dyDescent="0.35">
      <c r="H1081" s="1"/>
    </row>
    <row r="1082" spans="8:8" x14ac:dyDescent="0.35">
      <c r="H1082" s="1"/>
    </row>
    <row r="1083" spans="8:8" x14ac:dyDescent="0.35">
      <c r="H1083" s="1"/>
    </row>
    <row r="1084" spans="8:8" x14ac:dyDescent="0.35">
      <c r="H1084" s="1"/>
    </row>
    <row r="1085" spans="8:8" x14ac:dyDescent="0.35">
      <c r="H1085" s="1"/>
    </row>
    <row r="1086" spans="8:8" x14ac:dyDescent="0.35">
      <c r="H1086" s="1"/>
    </row>
    <row r="1087" spans="8:8" x14ac:dyDescent="0.35">
      <c r="H1087" s="1"/>
    </row>
    <row r="1088" spans="8:8" x14ac:dyDescent="0.35">
      <c r="H1088" s="1"/>
    </row>
    <row r="1089" spans="8:8" x14ac:dyDescent="0.35">
      <c r="H1089" s="1"/>
    </row>
    <row r="1090" spans="8:8" x14ac:dyDescent="0.35">
      <c r="H1090" s="1"/>
    </row>
    <row r="1091" spans="8:8" x14ac:dyDescent="0.35">
      <c r="H1091" s="1"/>
    </row>
    <row r="1092" spans="8:8" x14ac:dyDescent="0.35">
      <c r="H1092" s="1"/>
    </row>
    <row r="1093" spans="8:8" x14ac:dyDescent="0.35">
      <c r="H1093" s="1"/>
    </row>
    <row r="1094" spans="8:8" x14ac:dyDescent="0.35">
      <c r="H1094" s="1"/>
    </row>
    <row r="1095" spans="8:8" x14ac:dyDescent="0.35">
      <c r="H1095" s="1"/>
    </row>
    <row r="1096" spans="8:8" x14ac:dyDescent="0.35">
      <c r="H1096" s="1"/>
    </row>
    <row r="1097" spans="8:8" x14ac:dyDescent="0.35">
      <c r="H1097" s="1"/>
    </row>
    <row r="1098" spans="8:8" x14ac:dyDescent="0.35">
      <c r="H1098" s="1"/>
    </row>
    <row r="1099" spans="8:8" x14ac:dyDescent="0.35">
      <c r="H1099" s="1"/>
    </row>
    <row r="1100" spans="8:8" x14ac:dyDescent="0.35">
      <c r="H1100" s="1"/>
    </row>
    <row r="1101" spans="8:8" x14ac:dyDescent="0.35">
      <c r="H1101" s="1"/>
    </row>
    <row r="1102" spans="8:8" x14ac:dyDescent="0.35">
      <c r="H1102" s="1"/>
    </row>
    <row r="1103" spans="8:8" x14ac:dyDescent="0.35">
      <c r="H1103" s="1"/>
    </row>
    <row r="1104" spans="8:8" x14ac:dyDescent="0.35">
      <c r="H1104" s="1"/>
    </row>
    <row r="1105" spans="8:8" x14ac:dyDescent="0.35">
      <c r="H1105" s="1"/>
    </row>
    <row r="1106" spans="8:8" x14ac:dyDescent="0.35">
      <c r="H1106" s="1"/>
    </row>
    <row r="1107" spans="8:8" x14ac:dyDescent="0.35">
      <c r="H1107" s="1"/>
    </row>
    <row r="1108" spans="8:8" x14ac:dyDescent="0.35">
      <c r="H1108" s="1"/>
    </row>
    <row r="1109" spans="8:8" x14ac:dyDescent="0.35">
      <c r="H1109" s="1"/>
    </row>
    <row r="1110" spans="8:8" x14ac:dyDescent="0.35">
      <c r="H1110" s="1"/>
    </row>
    <row r="1111" spans="8:8" x14ac:dyDescent="0.35">
      <c r="H1111" s="1"/>
    </row>
    <row r="1112" spans="8:8" x14ac:dyDescent="0.35">
      <c r="H1112" s="1"/>
    </row>
    <row r="1113" spans="8:8" x14ac:dyDescent="0.35">
      <c r="H1113" s="1"/>
    </row>
    <row r="1114" spans="8:8" x14ac:dyDescent="0.35">
      <c r="H1114" s="1"/>
    </row>
    <row r="1115" spans="8:8" x14ac:dyDescent="0.35">
      <c r="H1115" s="1"/>
    </row>
    <row r="1116" spans="8:8" x14ac:dyDescent="0.35">
      <c r="H1116" s="1"/>
    </row>
    <row r="1117" spans="8:8" x14ac:dyDescent="0.35">
      <c r="H1117" s="1"/>
    </row>
    <row r="1118" spans="8:8" x14ac:dyDescent="0.35">
      <c r="H1118" s="1"/>
    </row>
    <row r="1119" spans="8:8" x14ac:dyDescent="0.35">
      <c r="H1119" s="1"/>
    </row>
    <row r="1120" spans="8:8" x14ac:dyDescent="0.35">
      <c r="H1120" s="1"/>
    </row>
    <row r="1121" spans="8:8" x14ac:dyDescent="0.35">
      <c r="H1121" s="1"/>
    </row>
    <row r="1122" spans="8:8" x14ac:dyDescent="0.35">
      <c r="H1122" s="1"/>
    </row>
    <row r="1123" spans="8:8" x14ac:dyDescent="0.35">
      <c r="H1123" s="1"/>
    </row>
    <row r="1124" spans="8:8" x14ac:dyDescent="0.35">
      <c r="H1124" s="1"/>
    </row>
    <row r="1125" spans="8:8" x14ac:dyDescent="0.35">
      <c r="H1125" s="1"/>
    </row>
    <row r="1126" spans="8:8" x14ac:dyDescent="0.35">
      <c r="H1126" s="1"/>
    </row>
    <row r="1127" spans="8:8" x14ac:dyDescent="0.35">
      <c r="H1127" s="1"/>
    </row>
    <row r="1128" spans="8:8" x14ac:dyDescent="0.35">
      <c r="H1128" s="1"/>
    </row>
    <row r="1129" spans="8:8" x14ac:dyDescent="0.35">
      <c r="H1129" s="1"/>
    </row>
    <row r="1130" spans="8:8" x14ac:dyDescent="0.35">
      <c r="H1130" s="1"/>
    </row>
    <row r="1131" spans="8:8" x14ac:dyDescent="0.35">
      <c r="H1131" s="1"/>
    </row>
    <row r="1132" spans="8:8" x14ac:dyDescent="0.35">
      <c r="H1132" s="1"/>
    </row>
    <row r="1133" spans="8:8" x14ac:dyDescent="0.35">
      <c r="H1133" s="1"/>
    </row>
    <row r="1134" spans="8:8" x14ac:dyDescent="0.35">
      <c r="H1134" s="1"/>
    </row>
    <row r="1135" spans="8:8" x14ac:dyDescent="0.35">
      <c r="H1135" s="1"/>
    </row>
    <row r="1136" spans="8:8" x14ac:dyDescent="0.35">
      <c r="H1136" s="1"/>
    </row>
    <row r="1137" spans="8:8" x14ac:dyDescent="0.35">
      <c r="H1137" s="1"/>
    </row>
    <row r="1138" spans="8:8" x14ac:dyDescent="0.35">
      <c r="H1138" s="1"/>
    </row>
    <row r="1139" spans="8:8" x14ac:dyDescent="0.35">
      <c r="H1139" s="1"/>
    </row>
    <row r="1140" spans="8:8" x14ac:dyDescent="0.35">
      <c r="H1140" s="1"/>
    </row>
    <row r="1141" spans="8:8" x14ac:dyDescent="0.35">
      <c r="H1141" s="1"/>
    </row>
    <row r="1142" spans="8:8" x14ac:dyDescent="0.35">
      <c r="H1142" s="1"/>
    </row>
    <row r="1143" spans="8:8" x14ac:dyDescent="0.35">
      <c r="H1143" s="1"/>
    </row>
    <row r="1144" spans="8:8" x14ac:dyDescent="0.35">
      <c r="H1144" s="1"/>
    </row>
    <row r="1145" spans="8:8" x14ac:dyDescent="0.35">
      <c r="H1145" s="1"/>
    </row>
    <row r="1146" spans="8:8" x14ac:dyDescent="0.35">
      <c r="H1146" s="1"/>
    </row>
    <row r="1147" spans="8:8" x14ac:dyDescent="0.35">
      <c r="H1147" s="1"/>
    </row>
    <row r="1148" spans="8:8" x14ac:dyDescent="0.35">
      <c r="H1148" s="1"/>
    </row>
    <row r="1149" spans="8:8" x14ac:dyDescent="0.35">
      <c r="H1149" s="1"/>
    </row>
    <row r="1150" spans="8:8" x14ac:dyDescent="0.35">
      <c r="H1150" s="1"/>
    </row>
    <row r="1151" spans="8:8" x14ac:dyDescent="0.35">
      <c r="H1151" s="1"/>
    </row>
    <row r="1152" spans="8:8" x14ac:dyDescent="0.35">
      <c r="H1152" s="1"/>
    </row>
    <row r="1153" spans="8:8" x14ac:dyDescent="0.35">
      <c r="H1153" s="1"/>
    </row>
    <row r="1154" spans="8:8" x14ac:dyDescent="0.35">
      <c r="H1154" s="1"/>
    </row>
    <row r="1155" spans="8:8" x14ac:dyDescent="0.35">
      <c r="H1155" s="1"/>
    </row>
    <row r="1156" spans="8:8" x14ac:dyDescent="0.35">
      <c r="H1156" s="1"/>
    </row>
    <row r="1157" spans="8:8" x14ac:dyDescent="0.35">
      <c r="H1157" s="1"/>
    </row>
    <row r="1158" spans="8:8" x14ac:dyDescent="0.35">
      <c r="H1158" s="1"/>
    </row>
    <row r="1159" spans="8:8" x14ac:dyDescent="0.35">
      <c r="H1159" s="1"/>
    </row>
    <row r="1160" spans="8:8" x14ac:dyDescent="0.35">
      <c r="H1160" s="1"/>
    </row>
    <row r="1161" spans="8:8" x14ac:dyDescent="0.35">
      <c r="H1161" s="1"/>
    </row>
    <row r="1162" spans="8:8" x14ac:dyDescent="0.35">
      <c r="H1162" s="1"/>
    </row>
    <row r="1163" spans="8:8" x14ac:dyDescent="0.35">
      <c r="H1163" s="1"/>
    </row>
    <row r="1164" spans="8:8" x14ac:dyDescent="0.35">
      <c r="H1164" s="1"/>
    </row>
    <row r="1165" spans="8:8" x14ac:dyDescent="0.35">
      <c r="H1165" s="1"/>
    </row>
    <row r="1166" spans="8:8" x14ac:dyDescent="0.35">
      <c r="H1166" s="1"/>
    </row>
    <row r="1167" spans="8:8" x14ac:dyDescent="0.35">
      <c r="H1167" s="1"/>
    </row>
    <row r="1168" spans="8:8" x14ac:dyDescent="0.35">
      <c r="H1168" s="1"/>
    </row>
    <row r="1169" spans="8:8" x14ac:dyDescent="0.35">
      <c r="H1169" s="1"/>
    </row>
    <row r="1170" spans="8:8" x14ac:dyDescent="0.35">
      <c r="H1170" s="1"/>
    </row>
    <row r="1171" spans="8:8" x14ac:dyDescent="0.35">
      <c r="H1171" s="1"/>
    </row>
    <row r="1172" spans="8:8" x14ac:dyDescent="0.35">
      <c r="H1172" s="1"/>
    </row>
    <row r="1173" spans="8:8" x14ac:dyDescent="0.35">
      <c r="H1173" s="1"/>
    </row>
    <row r="1174" spans="8:8" x14ac:dyDescent="0.35">
      <c r="H1174" s="1"/>
    </row>
    <row r="1175" spans="8:8" x14ac:dyDescent="0.35">
      <c r="H1175" s="1"/>
    </row>
    <row r="1176" spans="8:8" x14ac:dyDescent="0.35">
      <c r="H1176" s="1"/>
    </row>
    <row r="1177" spans="8:8" x14ac:dyDescent="0.35">
      <c r="H1177" s="1"/>
    </row>
    <row r="1178" spans="8:8" x14ac:dyDescent="0.35">
      <c r="H1178" s="1"/>
    </row>
    <row r="1179" spans="8:8" x14ac:dyDescent="0.35">
      <c r="H1179" s="1"/>
    </row>
    <row r="1180" spans="8:8" x14ac:dyDescent="0.35">
      <c r="H1180" s="1"/>
    </row>
    <row r="1181" spans="8:8" x14ac:dyDescent="0.35">
      <c r="H1181" s="1"/>
    </row>
    <row r="1182" spans="8:8" x14ac:dyDescent="0.35">
      <c r="H1182" s="1"/>
    </row>
    <row r="1183" spans="8:8" x14ac:dyDescent="0.35">
      <c r="H1183" s="1"/>
    </row>
    <row r="1184" spans="8:8" x14ac:dyDescent="0.35">
      <c r="H1184" s="1"/>
    </row>
    <row r="1185" spans="8:8" x14ac:dyDescent="0.35">
      <c r="H1185" s="1"/>
    </row>
    <row r="1186" spans="8:8" x14ac:dyDescent="0.35">
      <c r="H1186" s="1"/>
    </row>
    <row r="1187" spans="8:8" x14ac:dyDescent="0.35">
      <c r="H1187" s="1"/>
    </row>
    <row r="1188" spans="8:8" x14ac:dyDescent="0.35">
      <c r="H1188" s="1"/>
    </row>
    <row r="1189" spans="8:8" x14ac:dyDescent="0.35">
      <c r="H1189" s="1"/>
    </row>
    <row r="1190" spans="8:8" x14ac:dyDescent="0.35">
      <c r="H1190" s="1"/>
    </row>
    <row r="1191" spans="8:8" x14ac:dyDescent="0.35">
      <c r="H1191" s="1"/>
    </row>
    <row r="1192" spans="8:8" x14ac:dyDescent="0.35">
      <c r="H1192" s="1"/>
    </row>
    <row r="1193" spans="8:8" x14ac:dyDescent="0.35">
      <c r="H1193" s="1"/>
    </row>
    <row r="1194" spans="8:8" x14ac:dyDescent="0.35">
      <c r="H1194" s="1"/>
    </row>
    <row r="1195" spans="8:8" x14ac:dyDescent="0.35">
      <c r="H1195" s="1"/>
    </row>
    <row r="1196" spans="8:8" x14ac:dyDescent="0.35">
      <c r="H1196" s="1"/>
    </row>
    <row r="1197" spans="8:8" x14ac:dyDescent="0.35">
      <c r="H1197" s="1"/>
    </row>
    <row r="1198" spans="8:8" x14ac:dyDescent="0.35">
      <c r="H1198" s="1"/>
    </row>
    <row r="1199" spans="8:8" x14ac:dyDescent="0.35">
      <c r="H1199" s="1"/>
    </row>
    <row r="1200" spans="8:8" x14ac:dyDescent="0.35">
      <c r="H1200" s="1"/>
    </row>
    <row r="1201" spans="8:8" x14ac:dyDescent="0.35">
      <c r="H1201" s="1"/>
    </row>
    <row r="1202" spans="8:8" x14ac:dyDescent="0.35">
      <c r="H1202" s="1"/>
    </row>
    <row r="1203" spans="8:8" x14ac:dyDescent="0.35">
      <c r="H1203" s="1"/>
    </row>
    <row r="1204" spans="8:8" x14ac:dyDescent="0.35">
      <c r="H1204" s="1"/>
    </row>
    <row r="1205" spans="8:8" x14ac:dyDescent="0.35">
      <c r="H1205" s="1"/>
    </row>
    <row r="1206" spans="8:8" x14ac:dyDescent="0.35">
      <c r="H1206" s="1"/>
    </row>
    <row r="1207" spans="8:8" x14ac:dyDescent="0.35">
      <c r="H1207" s="1"/>
    </row>
    <row r="1208" spans="8:8" x14ac:dyDescent="0.35">
      <c r="H1208" s="1"/>
    </row>
    <row r="1209" spans="8:8" x14ac:dyDescent="0.35">
      <c r="H1209" s="1"/>
    </row>
    <row r="1210" spans="8:8" x14ac:dyDescent="0.35">
      <c r="H1210" s="1"/>
    </row>
    <row r="1211" spans="8:8" x14ac:dyDescent="0.35">
      <c r="H1211" s="1"/>
    </row>
    <row r="1212" spans="8:8" x14ac:dyDescent="0.35">
      <c r="H1212" s="1"/>
    </row>
    <row r="1213" spans="8:8" x14ac:dyDescent="0.35">
      <c r="H1213" s="1"/>
    </row>
    <row r="1214" spans="8:8" x14ac:dyDescent="0.35">
      <c r="H1214" s="1"/>
    </row>
    <row r="1215" spans="8:8" x14ac:dyDescent="0.35">
      <c r="H1215" s="1"/>
    </row>
    <row r="1216" spans="8:8" x14ac:dyDescent="0.35">
      <c r="H1216" s="1"/>
    </row>
    <row r="1217" spans="8:8" x14ac:dyDescent="0.35">
      <c r="H1217" s="1"/>
    </row>
    <row r="1218" spans="8:8" x14ac:dyDescent="0.35">
      <c r="H1218" s="1"/>
    </row>
    <row r="1219" spans="8:8" x14ac:dyDescent="0.35">
      <c r="H1219" s="1"/>
    </row>
    <row r="1220" spans="8:8" x14ac:dyDescent="0.35">
      <c r="H1220" s="1"/>
    </row>
    <row r="1221" spans="8:8" x14ac:dyDescent="0.35">
      <c r="H1221" s="1"/>
    </row>
    <row r="1222" spans="8:8" x14ac:dyDescent="0.35">
      <c r="H1222" s="1"/>
    </row>
    <row r="1223" spans="8:8" x14ac:dyDescent="0.35">
      <c r="H1223" s="1"/>
    </row>
    <row r="1224" spans="8:8" x14ac:dyDescent="0.35">
      <c r="H1224" s="1"/>
    </row>
    <row r="1225" spans="8:8" x14ac:dyDescent="0.35">
      <c r="H1225" s="1"/>
    </row>
    <row r="1226" spans="8:8" x14ac:dyDescent="0.35">
      <c r="H1226" s="1"/>
    </row>
    <row r="1227" spans="8:8" x14ac:dyDescent="0.35">
      <c r="H1227" s="1"/>
    </row>
    <row r="1228" spans="8:8" x14ac:dyDescent="0.35">
      <c r="H1228" s="1"/>
    </row>
    <row r="1229" spans="8:8" x14ac:dyDescent="0.35">
      <c r="H1229" s="1"/>
    </row>
    <row r="1230" spans="8:8" x14ac:dyDescent="0.35">
      <c r="H1230" s="1"/>
    </row>
    <row r="1231" spans="8:8" x14ac:dyDescent="0.35">
      <c r="H1231" s="1"/>
    </row>
    <row r="1232" spans="8:8" x14ac:dyDescent="0.35">
      <c r="H1232" s="1"/>
    </row>
    <row r="1233" spans="8:8" x14ac:dyDescent="0.35">
      <c r="H1233" s="1"/>
    </row>
    <row r="1234" spans="8:8" x14ac:dyDescent="0.35">
      <c r="H1234" s="1"/>
    </row>
    <row r="1235" spans="8:8" x14ac:dyDescent="0.35">
      <c r="H1235" s="1"/>
    </row>
    <row r="1236" spans="8:8" x14ac:dyDescent="0.35">
      <c r="H1236" s="1"/>
    </row>
    <row r="1237" spans="8:8" x14ac:dyDescent="0.35">
      <c r="H1237" s="1"/>
    </row>
    <row r="1238" spans="8:8" x14ac:dyDescent="0.35">
      <c r="H1238" s="1"/>
    </row>
    <row r="1239" spans="8:8" x14ac:dyDescent="0.35">
      <c r="H1239" s="1"/>
    </row>
    <row r="1240" spans="8:8" x14ac:dyDescent="0.35">
      <c r="H1240" s="1"/>
    </row>
    <row r="1241" spans="8:8" x14ac:dyDescent="0.35">
      <c r="H1241" s="1"/>
    </row>
    <row r="1242" spans="8:8" x14ac:dyDescent="0.35">
      <c r="H1242" s="1"/>
    </row>
    <row r="1243" spans="8:8" x14ac:dyDescent="0.35">
      <c r="H1243" s="1"/>
    </row>
    <row r="1244" spans="8:8" x14ac:dyDescent="0.35">
      <c r="H1244" s="1"/>
    </row>
    <row r="1245" spans="8:8" x14ac:dyDescent="0.35">
      <c r="H1245" s="1"/>
    </row>
    <row r="1246" spans="8:8" x14ac:dyDescent="0.35">
      <c r="H1246" s="1"/>
    </row>
    <row r="1247" spans="8:8" x14ac:dyDescent="0.35">
      <c r="H1247" s="1"/>
    </row>
    <row r="1248" spans="8:8" x14ac:dyDescent="0.35">
      <c r="H1248" s="1"/>
    </row>
    <row r="1249" spans="8:8" x14ac:dyDescent="0.35">
      <c r="H1249" s="1"/>
    </row>
    <row r="1250" spans="8:8" x14ac:dyDescent="0.35">
      <c r="H1250" s="1"/>
    </row>
    <row r="1251" spans="8:8" x14ac:dyDescent="0.35">
      <c r="H1251" s="1"/>
    </row>
    <row r="1252" spans="8:8" x14ac:dyDescent="0.35">
      <c r="H1252" s="1"/>
    </row>
    <row r="1253" spans="8:8" x14ac:dyDescent="0.35">
      <c r="H1253" s="1"/>
    </row>
    <row r="1254" spans="8:8" x14ac:dyDescent="0.35">
      <c r="H1254" s="1"/>
    </row>
    <row r="1255" spans="8:8" x14ac:dyDescent="0.35">
      <c r="H1255" s="1"/>
    </row>
    <row r="1256" spans="8:8" x14ac:dyDescent="0.35">
      <c r="H1256" s="1"/>
    </row>
    <row r="1257" spans="8:8" x14ac:dyDescent="0.35">
      <c r="H1257" s="1"/>
    </row>
    <row r="1258" spans="8:8" x14ac:dyDescent="0.35">
      <c r="H1258" s="1"/>
    </row>
    <row r="1259" spans="8:8" x14ac:dyDescent="0.35">
      <c r="H1259" s="1"/>
    </row>
    <row r="1260" spans="8:8" x14ac:dyDescent="0.35">
      <c r="H1260" s="1"/>
    </row>
    <row r="1261" spans="8:8" x14ac:dyDescent="0.35">
      <c r="H1261" s="1"/>
    </row>
    <row r="1262" spans="8:8" x14ac:dyDescent="0.35">
      <c r="H1262" s="1"/>
    </row>
    <row r="1263" spans="8:8" x14ac:dyDescent="0.35">
      <c r="H1263" s="1"/>
    </row>
    <row r="1264" spans="8:8" x14ac:dyDescent="0.35">
      <c r="H1264" s="1"/>
    </row>
    <row r="1265" spans="8:8" x14ac:dyDescent="0.35">
      <c r="H1265" s="1"/>
    </row>
    <row r="1266" spans="8:8" x14ac:dyDescent="0.35">
      <c r="H1266" s="1"/>
    </row>
    <row r="1267" spans="8:8" x14ac:dyDescent="0.35">
      <c r="H1267" s="1"/>
    </row>
    <row r="1268" spans="8:8" x14ac:dyDescent="0.35">
      <c r="H1268" s="1"/>
    </row>
    <row r="1269" spans="8:8" x14ac:dyDescent="0.35">
      <c r="H1269" s="1"/>
    </row>
    <row r="1270" spans="8:8" x14ac:dyDescent="0.35">
      <c r="H1270" s="1"/>
    </row>
    <row r="1271" spans="8:8" x14ac:dyDescent="0.35">
      <c r="H1271" s="1"/>
    </row>
    <row r="1272" spans="8:8" x14ac:dyDescent="0.35">
      <c r="H1272" s="1"/>
    </row>
    <row r="1273" spans="8:8" x14ac:dyDescent="0.35">
      <c r="H1273" s="1"/>
    </row>
    <row r="1274" spans="8:8" x14ac:dyDescent="0.35">
      <c r="H1274" s="1"/>
    </row>
    <row r="1275" spans="8:8" x14ac:dyDescent="0.35">
      <c r="H1275" s="1"/>
    </row>
    <row r="1276" spans="8:8" x14ac:dyDescent="0.35">
      <c r="H1276" s="1"/>
    </row>
    <row r="1277" spans="8:8" x14ac:dyDescent="0.35">
      <c r="H1277" s="1"/>
    </row>
    <row r="1278" spans="8:8" x14ac:dyDescent="0.35">
      <c r="H1278" s="1"/>
    </row>
    <row r="1279" spans="8:8" x14ac:dyDescent="0.35">
      <c r="H1279" s="1"/>
    </row>
    <row r="1280" spans="8:8" x14ac:dyDescent="0.35">
      <c r="H1280" s="1"/>
    </row>
    <row r="1281" spans="8:8" x14ac:dyDescent="0.35">
      <c r="H1281" s="1"/>
    </row>
    <row r="1282" spans="8:8" x14ac:dyDescent="0.35">
      <c r="H1282" s="1"/>
    </row>
    <row r="1283" spans="8:8" x14ac:dyDescent="0.35">
      <c r="H1283" s="1"/>
    </row>
    <row r="1284" spans="8:8" x14ac:dyDescent="0.35">
      <c r="H1284" s="1"/>
    </row>
    <row r="1285" spans="8:8" x14ac:dyDescent="0.35">
      <c r="H1285" s="1"/>
    </row>
    <row r="1286" spans="8:8" x14ac:dyDescent="0.35">
      <c r="H1286" s="1"/>
    </row>
    <row r="1287" spans="8:8" x14ac:dyDescent="0.35">
      <c r="H1287" s="1"/>
    </row>
    <row r="1288" spans="8:8" x14ac:dyDescent="0.35">
      <c r="H1288" s="1"/>
    </row>
    <row r="1289" spans="8:8" x14ac:dyDescent="0.35">
      <c r="H1289" s="1"/>
    </row>
    <row r="1290" spans="8:8" x14ac:dyDescent="0.35">
      <c r="H1290" s="1"/>
    </row>
    <row r="1291" spans="8:8" x14ac:dyDescent="0.35">
      <c r="H1291" s="1"/>
    </row>
    <row r="1292" spans="8:8" x14ac:dyDescent="0.35">
      <c r="H1292" s="1"/>
    </row>
    <row r="1293" spans="8:8" x14ac:dyDescent="0.35">
      <c r="H1293" s="1"/>
    </row>
    <row r="1294" spans="8:8" x14ac:dyDescent="0.35">
      <c r="H1294" s="1"/>
    </row>
    <row r="1295" spans="8:8" x14ac:dyDescent="0.35">
      <c r="H1295" s="1"/>
    </row>
    <row r="1296" spans="8:8" x14ac:dyDescent="0.35">
      <c r="H1296" s="1"/>
    </row>
    <row r="1297" spans="8:8" x14ac:dyDescent="0.35">
      <c r="H1297" s="1"/>
    </row>
    <row r="1298" spans="8:8" x14ac:dyDescent="0.35">
      <c r="H1298" s="1"/>
    </row>
    <row r="1299" spans="8:8" x14ac:dyDescent="0.35">
      <c r="H1299" s="1"/>
    </row>
    <row r="1300" spans="8:8" x14ac:dyDescent="0.35">
      <c r="H1300" s="1"/>
    </row>
    <row r="1301" spans="8:8" x14ac:dyDescent="0.35">
      <c r="H1301" s="1"/>
    </row>
    <row r="1302" spans="8:8" x14ac:dyDescent="0.35">
      <c r="H1302" s="1"/>
    </row>
    <row r="1303" spans="8:8" x14ac:dyDescent="0.35">
      <c r="H1303" s="1"/>
    </row>
    <row r="1304" spans="8:8" x14ac:dyDescent="0.35">
      <c r="H1304" s="1"/>
    </row>
    <row r="1305" spans="8:8" x14ac:dyDescent="0.35">
      <c r="H1305" s="1"/>
    </row>
    <row r="1306" spans="8:8" x14ac:dyDescent="0.35">
      <c r="H1306" s="1"/>
    </row>
    <row r="1307" spans="8:8" x14ac:dyDescent="0.35">
      <c r="H1307" s="1"/>
    </row>
    <row r="1308" spans="8:8" x14ac:dyDescent="0.35">
      <c r="H1308" s="1"/>
    </row>
    <row r="1309" spans="8:8" x14ac:dyDescent="0.35">
      <c r="H1309" s="1"/>
    </row>
    <row r="1310" spans="8:8" x14ac:dyDescent="0.35">
      <c r="H1310" s="1"/>
    </row>
    <row r="1311" spans="8:8" x14ac:dyDescent="0.35">
      <c r="H1311" s="1"/>
    </row>
    <row r="1312" spans="8:8" x14ac:dyDescent="0.35">
      <c r="H1312" s="1"/>
    </row>
    <row r="1313" spans="8:8" x14ac:dyDescent="0.35">
      <c r="H1313" s="1"/>
    </row>
    <row r="1314" spans="8:8" x14ac:dyDescent="0.35">
      <c r="H1314" s="1"/>
    </row>
    <row r="1315" spans="8:8" x14ac:dyDescent="0.35">
      <c r="H1315" s="1"/>
    </row>
    <row r="1316" spans="8:8" x14ac:dyDescent="0.35">
      <c r="H1316" s="1"/>
    </row>
    <row r="1317" spans="8:8" x14ac:dyDescent="0.35">
      <c r="H1317" s="1"/>
    </row>
    <row r="1318" spans="8:8" x14ac:dyDescent="0.35">
      <c r="H1318" s="1"/>
    </row>
    <row r="1319" spans="8:8" x14ac:dyDescent="0.35">
      <c r="H1319" s="1"/>
    </row>
    <row r="1320" spans="8:8" x14ac:dyDescent="0.35">
      <c r="H1320" s="1"/>
    </row>
    <row r="1321" spans="8:8" x14ac:dyDescent="0.35">
      <c r="H1321" s="1"/>
    </row>
    <row r="1322" spans="8:8" x14ac:dyDescent="0.35">
      <c r="H1322" s="1"/>
    </row>
    <row r="1323" spans="8:8" x14ac:dyDescent="0.35">
      <c r="H1323" s="1"/>
    </row>
    <row r="1324" spans="8:8" x14ac:dyDescent="0.35">
      <c r="H1324" s="1"/>
    </row>
    <row r="1325" spans="8:8" x14ac:dyDescent="0.35">
      <c r="H1325" s="1"/>
    </row>
    <row r="1326" spans="8:8" x14ac:dyDescent="0.35">
      <c r="H1326" s="1"/>
    </row>
    <row r="1327" spans="8:8" x14ac:dyDescent="0.35">
      <c r="H1327" s="1"/>
    </row>
    <row r="1328" spans="8:8" x14ac:dyDescent="0.35">
      <c r="H1328" s="1"/>
    </row>
    <row r="1329" spans="8:8" x14ac:dyDescent="0.35">
      <c r="H1329" s="1"/>
    </row>
    <row r="1330" spans="8:8" x14ac:dyDescent="0.35">
      <c r="H1330" s="1"/>
    </row>
    <row r="1331" spans="8:8" x14ac:dyDescent="0.35">
      <c r="H1331" s="1"/>
    </row>
    <row r="1332" spans="8:8" x14ac:dyDescent="0.35">
      <c r="H1332" s="1"/>
    </row>
    <row r="1333" spans="8:8" x14ac:dyDescent="0.35">
      <c r="H1333" s="1"/>
    </row>
    <row r="1334" spans="8:8" x14ac:dyDescent="0.35">
      <c r="H1334" s="1"/>
    </row>
    <row r="1335" spans="8:8" x14ac:dyDescent="0.35">
      <c r="H1335" s="1"/>
    </row>
    <row r="1336" spans="8:8" x14ac:dyDescent="0.35">
      <c r="H1336" s="1"/>
    </row>
    <row r="1337" spans="8:8" x14ac:dyDescent="0.35">
      <c r="H1337" s="1"/>
    </row>
    <row r="1338" spans="8:8" x14ac:dyDescent="0.35">
      <c r="H1338" s="1"/>
    </row>
    <row r="1339" spans="8:8" x14ac:dyDescent="0.35">
      <c r="H1339" s="1"/>
    </row>
    <row r="1340" spans="8:8" x14ac:dyDescent="0.35">
      <c r="H1340" s="1"/>
    </row>
    <row r="1341" spans="8:8" x14ac:dyDescent="0.35">
      <c r="H1341" s="1"/>
    </row>
    <row r="1342" spans="8:8" x14ac:dyDescent="0.35">
      <c r="H1342" s="1"/>
    </row>
    <row r="1343" spans="8:8" x14ac:dyDescent="0.35">
      <c r="H1343" s="1"/>
    </row>
    <row r="1344" spans="8:8" x14ac:dyDescent="0.35">
      <c r="H1344" s="1"/>
    </row>
    <row r="1345" spans="8:8" x14ac:dyDescent="0.35">
      <c r="H1345" s="1"/>
    </row>
    <row r="1346" spans="8:8" x14ac:dyDescent="0.35">
      <c r="H1346" s="1"/>
    </row>
    <row r="1347" spans="8:8" x14ac:dyDescent="0.35">
      <c r="H1347" s="1"/>
    </row>
    <row r="1348" spans="8:8" x14ac:dyDescent="0.35">
      <c r="H1348" s="1"/>
    </row>
    <row r="1349" spans="8:8" x14ac:dyDescent="0.35">
      <c r="H1349" s="1"/>
    </row>
    <row r="1350" spans="8:8" x14ac:dyDescent="0.35">
      <c r="H1350" s="1"/>
    </row>
    <row r="1351" spans="8:8" x14ac:dyDescent="0.35">
      <c r="H1351" s="1"/>
    </row>
    <row r="1352" spans="8:8" x14ac:dyDescent="0.35">
      <c r="H1352" s="1"/>
    </row>
    <row r="1353" spans="8:8" x14ac:dyDescent="0.35">
      <c r="H1353" s="1"/>
    </row>
    <row r="1354" spans="8:8" x14ac:dyDescent="0.35">
      <c r="H1354" s="1"/>
    </row>
    <row r="1355" spans="8:8" x14ac:dyDescent="0.35">
      <c r="H1355" s="1"/>
    </row>
    <row r="1356" spans="8:8" x14ac:dyDescent="0.35">
      <c r="H1356" s="1"/>
    </row>
    <row r="1357" spans="8:8" x14ac:dyDescent="0.35">
      <c r="H1357" s="1"/>
    </row>
    <row r="1358" spans="8:8" x14ac:dyDescent="0.35">
      <c r="H1358" s="1"/>
    </row>
    <row r="1359" spans="8:8" x14ac:dyDescent="0.35">
      <c r="H1359" s="1"/>
    </row>
    <row r="1360" spans="8:8" x14ac:dyDescent="0.35">
      <c r="H1360" s="1"/>
    </row>
    <row r="1361" spans="8:8" x14ac:dyDescent="0.35">
      <c r="H1361" s="1"/>
    </row>
    <row r="1362" spans="8:8" x14ac:dyDescent="0.35">
      <c r="H1362" s="1"/>
    </row>
    <row r="1363" spans="8:8" x14ac:dyDescent="0.35">
      <c r="H1363" s="1"/>
    </row>
    <row r="1364" spans="8:8" x14ac:dyDescent="0.35">
      <c r="H1364" s="1"/>
    </row>
    <row r="1365" spans="8:8" x14ac:dyDescent="0.35">
      <c r="H1365" s="1"/>
    </row>
    <row r="1366" spans="8:8" x14ac:dyDescent="0.35">
      <c r="H1366" s="1"/>
    </row>
    <row r="1367" spans="8:8" x14ac:dyDescent="0.35">
      <c r="H1367" s="1"/>
    </row>
    <row r="1368" spans="8:8" x14ac:dyDescent="0.35">
      <c r="H1368" s="1"/>
    </row>
    <row r="1369" spans="8:8" x14ac:dyDescent="0.35">
      <c r="H1369" s="1"/>
    </row>
    <row r="1370" spans="8:8" x14ac:dyDescent="0.35">
      <c r="H1370" s="1"/>
    </row>
    <row r="1371" spans="8:8" x14ac:dyDescent="0.35">
      <c r="H1371" s="1"/>
    </row>
    <row r="1372" spans="8:8" x14ac:dyDescent="0.35">
      <c r="H1372" s="1"/>
    </row>
    <row r="1373" spans="8:8" x14ac:dyDescent="0.35">
      <c r="H1373" s="1"/>
    </row>
    <row r="1374" spans="8:8" x14ac:dyDescent="0.35">
      <c r="H1374" s="1"/>
    </row>
    <row r="1375" spans="8:8" x14ac:dyDescent="0.35">
      <c r="H1375" s="1"/>
    </row>
    <row r="1376" spans="8:8" x14ac:dyDescent="0.35">
      <c r="H1376" s="1"/>
    </row>
    <row r="1377" spans="8:8" x14ac:dyDescent="0.35">
      <c r="H1377" s="1"/>
    </row>
    <row r="1378" spans="8:8" x14ac:dyDescent="0.35">
      <c r="H1378" s="1"/>
    </row>
    <row r="1379" spans="8:8" x14ac:dyDescent="0.35">
      <c r="H1379" s="1"/>
    </row>
    <row r="1380" spans="8:8" x14ac:dyDescent="0.35">
      <c r="H1380" s="1"/>
    </row>
    <row r="1381" spans="8:8" x14ac:dyDescent="0.35">
      <c r="H1381" s="1"/>
    </row>
    <row r="1382" spans="8:8" x14ac:dyDescent="0.35">
      <c r="H1382" s="1"/>
    </row>
    <row r="1383" spans="8:8" x14ac:dyDescent="0.35">
      <c r="H1383" s="1"/>
    </row>
    <row r="1384" spans="8:8" x14ac:dyDescent="0.35">
      <c r="H1384" s="1"/>
    </row>
    <row r="1385" spans="8:8" x14ac:dyDescent="0.35">
      <c r="H1385" s="1"/>
    </row>
    <row r="1386" spans="8:8" x14ac:dyDescent="0.35">
      <c r="H1386" s="1"/>
    </row>
    <row r="1387" spans="8:8" x14ac:dyDescent="0.35">
      <c r="H1387" s="1"/>
    </row>
    <row r="1388" spans="8:8" x14ac:dyDescent="0.35">
      <c r="H1388" s="1"/>
    </row>
    <row r="1389" spans="8:8" x14ac:dyDescent="0.35">
      <c r="H1389" s="1"/>
    </row>
    <row r="1390" spans="8:8" x14ac:dyDescent="0.35">
      <c r="H1390" s="1"/>
    </row>
    <row r="1391" spans="8:8" x14ac:dyDescent="0.35">
      <c r="H1391" s="1"/>
    </row>
    <row r="1392" spans="8:8" x14ac:dyDescent="0.35">
      <c r="H1392" s="1"/>
    </row>
    <row r="1393" spans="8:8" x14ac:dyDescent="0.35">
      <c r="H1393" s="1"/>
    </row>
    <row r="1394" spans="8:8" x14ac:dyDescent="0.35">
      <c r="H1394" s="1"/>
    </row>
    <row r="1395" spans="8:8" x14ac:dyDescent="0.35">
      <c r="H1395" s="1"/>
    </row>
    <row r="1396" spans="8:8" x14ac:dyDescent="0.35">
      <c r="H1396" s="1"/>
    </row>
    <row r="1397" spans="8:8" x14ac:dyDescent="0.35">
      <c r="H1397" s="1"/>
    </row>
    <row r="1398" spans="8:8" x14ac:dyDescent="0.35">
      <c r="H1398" s="1"/>
    </row>
    <row r="1399" spans="8:8" x14ac:dyDescent="0.35">
      <c r="H1399" s="1"/>
    </row>
    <row r="1400" spans="8:8" x14ac:dyDescent="0.35">
      <c r="H1400" s="1"/>
    </row>
    <row r="1401" spans="8:8" x14ac:dyDescent="0.35">
      <c r="H1401" s="1"/>
    </row>
    <row r="1402" spans="8:8" x14ac:dyDescent="0.35">
      <c r="H1402" s="1"/>
    </row>
    <row r="1403" spans="8:8" x14ac:dyDescent="0.35">
      <c r="H1403" s="1"/>
    </row>
    <row r="1404" spans="8:8" x14ac:dyDescent="0.35">
      <c r="H1404" s="1"/>
    </row>
    <row r="1405" spans="8:8" x14ac:dyDescent="0.35">
      <c r="H1405" s="1"/>
    </row>
    <row r="1406" spans="8:8" x14ac:dyDescent="0.35">
      <c r="H1406" s="1"/>
    </row>
    <row r="1407" spans="8:8" x14ac:dyDescent="0.35">
      <c r="H1407" s="1"/>
    </row>
    <row r="1408" spans="8:8" x14ac:dyDescent="0.35">
      <c r="H1408" s="1"/>
    </row>
    <row r="1409" spans="8:8" x14ac:dyDescent="0.35">
      <c r="H1409" s="1"/>
    </row>
    <row r="1410" spans="8:8" x14ac:dyDescent="0.35">
      <c r="H1410" s="1"/>
    </row>
    <row r="1411" spans="8:8" x14ac:dyDescent="0.35">
      <c r="H1411" s="1"/>
    </row>
    <row r="1412" spans="8:8" x14ac:dyDescent="0.35">
      <c r="H1412" s="1"/>
    </row>
    <row r="1413" spans="8:8" x14ac:dyDescent="0.35">
      <c r="H1413" s="1"/>
    </row>
    <row r="1414" spans="8:8" x14ac:dyDescent="0.35">
      <c r="H1414" s="1"/>
    </row>
    <row r="1415" spans="8:8" x14ac:dyDescent="0.35">
      <c r="H1415" s="1"/>
    </row>
    <row r="1416" spans="8:8" x14ac:dyDescent="0.35">
      <c r="H1416" s="1"/>
    </row>
    <row r="1417" spans="8:8" x14ac:dyDescent="0.35">
      <c r="H1417" s="1"/>
    </row>
    <row r="1418" spans="8:8" x14ac:dyDescent="0.35">
      <c r="H1418" s="1"/>
    </row>
    <row r="1419" spans="8:8" x14ac:dyDescent="0.35">
      <c r="H1419" s="1"/>
    </row>
    <row r="1420" spans="8:8" x14ac:dyDescent="0.35">
      <c r="H1420" s="1"/>
    </row>
    <row r="1421" spans="8:8" x14ac:dyDescent="0.35">
      <c r="H1421" s="1"/>
    </row>
    <row r="1422" spans="8:8" x14ac:dyDescent="0.35">
      <c r="H1422" s="1"/>
    </row>
    <row r="1423" spans="8:8" x14ac:dyDescent="0.35">
      <c r="H1423" s="1"/>
    </row>
    <row r="1424" spans="8:8" x14ac:dyDescent="0.35">
      <c r="H1424" s="1"/>
    </row>
    <row r="1425" spans="8:8" x14ac:dyDescent="0.35">
      <c r="H1425" s="1"/>
    </row>
    <row r="1426" spans="8:8" x14ac:dyDescent="0.35">
      <c r="H1426" s="1"/>
    </row>
    <row r="1427" spans="8:8" x14ac:dyDescent="0.35">
      <c r="H1427" s="1"/>
    </row>
    <row r="1428" spans="8:8" x14ac:dyDescent="0.35">
      <c r="H1428" s="1"/>
    </row>
    <row r="1429" spans="8:8" x14ac:dyDescent="0.35">
      <c r="H1429" s="1"/>
    </row>
    <row r="1430" spans="8:8" x14ac:dyDescent="0.35">
      <c r="H1430" s="1"/>
    </row>
    <row r="1431" spans="8:8" x14ac:dyDescent="0.35">
      <c r="H1431" s="1"/>
    </row>
    <row r="1432" spans="8:8" x14ac:dyDescent="0.35">
      <c r="H1432" s="1"/>
    </row>
    <row r="1433" spans="8:8" x14ac:dyDescent="0.35">
      <c r="H1433" s="1"/>
    </row>
    <row r="1434" spans="8:8" x14ac:dyDescent="0.35">
      <c r="H1434" s="1"/>
    </row>
    <row r="1435" spans="8:8" x14ac:dyDescent="0.35">
      <c r="H1435" s="1"/>
    </row>
    <row r="1436" spans="8:8" x14ac:dyDescent="0.35">
      <c r="H1436" s="1"/>
    </row>
    <row r="1437" spans="8:8" x14ac:dyDescent="0.35">
      <c r="H1437" s="1"/>
    </row>
    <row r="1438" spans="8:8" x14ac:dyDescent="0.35">
      <c r="H1438" s="1"/>
    </row>
    <row r="1439" spans="8:8" x14ac:dyDescent="0.35">
      <c r="H1439" s="1"/>
    </row>
    <row r="1440" spans="8:8" x14ac:dyDescent="0.35">
      <c r="H1440" s="1"/>
    </row>
    <row r="1441" spans="8:8" x14ac:dyDescent="0.35">
      <c r="H1441" s="1"/>
    </row>
    <row r="1442" spans="8:8" x14ac:dyDescent="0.35">
      <c r="H1442" s="1"/>
    </row>
    <row r="1443" spans="8:8" x14ac:dyDescent="0.35">
      <c r="H1443" s="1"/>
    </row>
    <row r="1444" spans="8:8" x14ac:dyDescent="0.35">
      <c r="H1444" s="1"/>
    </row>
    <row r="1445" spans="8:8" x14ac:dyDescent="0.35">
      <c r="H1445" s="1"/>
    </row>
    <row r="1446" spans="8:8" x14ac:dyDescent="0.35">
      <c r="H1446" s="1"/>
    </row>
    <row r="1447" spans="8:8" x14ac:dyDescent="0.35">
      <c r="H1447" s="1"/>
    </row>
    <row r="1448" spans="8:8" x14ac:dyDescent="0.35">
      <c r="H1448" s="1"/>
    </row>
    <row r="1449" spans="8:8" x14ac:dyDescent="0.35">
      <c r="H1449" s="1"/>
    </row>
    <row r="1450" spans="8:8" x14ac:dyDescent="0.35">
      <c r="H1450" s="1"/>
    </row>
    <row r="1451" spans="8:8" x14ac:dyDescent="0.35">
      <c r="H1451" s="1"/>
    </row>
    <row r="1452" spans="8:8" x14ac:dyDescent="0.35">
      <c r="H1452" s="1"/>
    </row>
    <row r="1453" spans="8:8" x14ac:dyDescent="0.35">
      <c r="H1453" s="1"/>
    </row>
    <row r="1454" spans="8:8" x14ac:dyDescent="0.35">
      <c r="H1454" s="1"/>
    </row>
    <row r="1455" spans="8:8" x14ac:dyDescent="0.35">
      <c r="H1455" s="1"/>
    </row>
    <row r="1456" spans="8:8" x14ac:dyDescent="0.35">
      <c r="H1456" s="1"/>
    </row>
    <row r="1457" spans="8:8" x14ac:dyDescent="0.35">
      <c r="H1457" s="1"/>
    </row>
    <row r="1458" spans="8:8" x14ac:dyDescent="0.35">
      <c r="H1458" s="1"/>
    </row>
    <row r="1459" spans="8:8" x14ac:dyDescent="0.35">
      <c r="H1459" s="1"/>
    </row>
    <row r="1460" spans="8:8" x14ac:dyDescent="0.35">
      <c r="H1460" s="1"/>
    </row>
    <row r="1461" spans="8:8" x14ac:dyDescent="0.35">
      <c r="H1461" s="1"/>
    </row>
    <row r="1462" spans="8:8" x14ac:dyDescent="0.35">
      <c r="H1462" s="1"/>
    </row>
    <row r="1463" spans="8:8" x14ac:dyDescent="0.35">
      <c r="H1463" s="1"/>
    </row>
    <row r="1464" spans="8:8" x14ac:dyDescent="0.35">
      <c r="H1464" s="1"/>
    </row>
    <row r="1465" spans="8:8" x14ac:dyDescent="0.35">
      <c r="H1465" s="1"/>
    </row>
    <row r="1466" spans="8:8" x14ac:dyDescent="0.35">
      <c r="H1466" s="1"/>
    </row>
    <row r="1467" spans="8:8" x14ac:dyDescent="0.35">
      <c r="H1467" s="1"/>
    </row>
    <row r="1468" spans="8:8" x14ac:dyDescent="0.35">
      <c r="H1468" s="1"/>
    </row>
    <row r="1469" spans="8:8" x14ac:dyDescent="0.35">
      <c r="H1469" s="1"/>
    </row>
    <row r="1470" spans="8:8" x14ac:dyDescent="0.35">
      <c r="H1470" s="1"/>
    </row>
    <row r="1471" spans="8:8" x14ac:dyDescent="0.35">
      <c r="H1471" s="1"/>
    </row>
    <row r="1472" spans="8:8" x14ac:dyDescent="0.35">
      <c r="H1472" s="1"/>
    </row>
    <row r="1473" spans="8:8" x14ac:dyDescent="0.35">
      <c r="H1473" s="1"/>
    </row>
    <row r="1474" spans="8:8" x14ac:dyDescent="0.35">
      <c r="H1474" s="1"/>
    </row>
    <row r="1475" spans="8:8" x14ac:dyDescent="0.35">
      <c r="H1475" s="1"/>
    </row>
    <row r="1476" spans="8:8" x14ac:dyDescent="0.35">
      <c r="H1476" s="1"/>
    </row>
    <row r="1477" spans="8:8" x14ac:dyDescent="0.35">
      <c r="H1477" s="1"/>
    </row>
    <row r="1478" spans="8:8" x14ac:dyDescent="0.35">
      <c r="H1478" s="1"/>
    </row>
    <row r="1479" spans="8:8" x14ac:dyDescent="0.35">
      <c r="H1479" s="1"/>
    </row>
    <row r="1480" spans="8:8" x14ac:dyDescent="0.35">
      <c r="H1480" s="1"/>
    </row>
    <row r="1481" spans="8:8" x14ac:dyDescent="0.35">
      <c r="H1481" s="1"/>
    </row>
    <row r="1482" spans="8:8" x14ac:dyDescent="0.35">
      <c r="H1482" s="1"/>
    </row>
    <row r="1483" spans="8:8" x14ac:dyDescent="0.35">
      <c r="H1483" s="1"/>
    </row>
    <row r="1484" spans="8:8" x14ac:dyDescent="0.35">
      <c r="H1484" s="1"/>
    </row>
    <row r="1485" spans="8:8" x14ac:dyDescent="0.35">
      <c r="H1485" s="1"/>
    </row>
    <row r="1486" spans="8:8" x14ac:dyDescent="0.35">
      <c r="H1486" s="1"/>
    </row>
    <row r="1487" spans="8:8" x14ac:dyDescent="0.35">
      <c r="H1487" s="1"/>
    </row>
    <row r="1488" spans="8:8" x14ac:dyDescent="0.35">
      <c r="H1488" s="1"/>
    </row>
    <row r="1489" spans="8:8" x14ac:dyDescent="0.35">
      <c r="H1489" s="1"/>
    </row>
    <row r="1490" spans="8:8" x14ac:dyDescent="0.35">
      <c r="H1490" s="1"/>
    </row>
    <row r="1491" spans="8:8" x14ac:dyDescent="0.35">
      <c r="H1491" s="1"/>
    </row>
    <row r="1492" spans="8:8" x14ac:dyDescent="0.35">
      <c r="H1492" s="1"/>
    </row>
    <row r="1493" spans="8:8" x14ac:dyDescent="0.35">
      <c r="H1493" s="1"/>
    </row>
    <row r="1494" spans="8:8" x14ac:dyDescent="0.35">
      <c r="H1494" s="1"/>
    </row>
    <row r="1495" spans="8:8" x14ac:dyDescent="0.35">
      <c r="H1495" s="1"/>
    </row>
    <row r="1496" spans="8:8" x14ac:dyDescent="0.35">
      <c r="H1496" s="1"/>
    </row>
    <row r="1497" spans="8:8" x14ac:dyDescent="0.35">
      <c r="H1497" s="1"/>
    </row>
    <row r="1498" spans="8:8" x14ac:dyDescent="0.35">
      <c r="H1498" s="1"/>
    </row>
    <row r="1499" spans="8:8" x14ac:dyDescent="0.35">
      <c r="H1499" s="1"/>
    </row>
    <row r="1500" spans="8:8" x14ac:dyDescent="0.35">
      <c r="H1500" s="1"/>
    </row>
    <row r="1501" spans="8:8" x14ac:dyDescent="0.35">
      <c r="H1501" s="1"/>
    </row>
    <row r="1502" spans="8:8" x14ac:dyDescent="0.35">
      <c r="H1502" s="1"/>
    </row>
    <row r="1503" spans="8:8" x14ac:dyDescent="0.35">
      <c r="H1503" s="1"/>
    </row>
    <row r="1504" spans="8:8" x14ac:dyDescent="0.35">
      <c r="H1504" s="1"/>
    </row>
    <row r="1505" spans="8:8" x14ac:dyDescent="0.35">
      <c r="H1505" s="1"/>
    </row>
    <row r="1506" spans="8:8" x14ac:dyDescent="0.35">
      <c r="H1506" s="1"/>
    </row>
    <row r="1507" spans="8:8" x14ac:dyDescent="0.35">
      <c r="H1507" s="1"/>
    </row>
    <row r="1508" spans="8:8" x14ac:dyDescent="0.35">
      <c r="H1508" s="1"/>
    </row>
    <row r="1509" spans="8:8" x14ac:dyDescent="0.35">
      <c r="H1509" s="1"/>
    </row>
    <row r="1510" spans="8:8" x14ac:dyDescent="0.35">
      <c r="H1510" s="1"/>
    </row>
    <row r="1511" spans="8:8" x14ac:dyDescent="0.35">
      <c r="H1511" s="1"/>
    </row>
    <row r="1512" spans="8:8" x14ac:dyDescent="0.35">
      <c r="H1512" s="1"/>
    </row>
    <row r="1513" spans="8:8" x14ac:dyDescent="0.35">
      <c r="H1513" s="1"/>
    </row>
    <row r="1514" spans="8:8" x14ac:dyDescent="0.35">
      <c r="H1514" s="1"/>
    </row>
    <row r="1515" spans="8:8" x14ac:dyDescent="0.35">
      <c r="H1515" s="1"/>
    </row>
    <row r="1516" spans="8:8" x14ac:dyDescent="0.35">
      <c r="H1516" s="1"/>
    </row>
    <row r="1517" spans="8:8" x14ac:dyDescent="0.35">
      <c r="H1517" s="1"/>
    </row>
    <row r="1518" spans="8:8" x14ac:dyDescent="0.35">
      <c r="H1518" s="1"/>
    </row>
    <row r="1519" spans="8:8" x14ac:dyDescent="0.35">
      <c r="H1519" s="1"/>
    </row>
    <row r="1520" spans="8:8" x14ac:dyDescent="0.35">
      <c r="H1520" s="1"/>
    </row>
    <row r="1521" spans="8:8" x14ac:dyDescent="0.35">
      <c r="H1521" s="1"/>
    </row>
    <row r="1522" spans="8:8" x14ac:dyDescent="0.35">
      <c r="H1522" s="1"/>
    </row>
    <row r="1523" spans="8:8" x14ac:dyDescent="0.35">
      <c r="H1523" s="1"/>
    </row>
    <row r="1524" spans="8:8" x14ac:dyDescent="0.35">
      <c r="H1524" s="1"/>
    </row>
    <row r="1525" spans="8:8" x14ac:dyDescent="0.35">
      <c r="H1525" s="1"/>
    </row>
    <row r="1526" spans="8:8" x14ac:dyDescent="0.35">
      <c r="H1526" s="1"/>
    </row>
    <row r="1527" spans="8:8" x14ac:dyDescent="0.35">
      <c r="H1527" s="1"/>
    </row>
    <row r="1528" spans="8:8" x14ac:dyDescent="0.35">
      <c r="H1528" s="1"/>
    </row>
    <row r="1529" spans="8:8" x14ac:dyDescent="0.35">
      <c r="H1529" s="1"/>
    </row>
    <row r="1530" spans="8:8" x14ac:dyDescent="0.35">
      <c r="H1530" s="1"/>
    </row>
    <row r="1531" spans="8:8" x14ac:dyDescent="0.35">
      <c r="H1531" s="1"/>
    </row>
    <row r="1532" spans="8:8" x14ac:dyDescent="0.35">
      <c r="H1532" s="1"/>
    </row>
    <row r="1533" spans="8:8" x14ac:dyDescent="0.35">
      <c r="H1533" s="1"/>
    </row>
    <row r="1534" spans="8:8" x14ac:dyDescent="0.35">
      <c r="H1534" s="1"/>
    </row>
    <row r="1535" spans="8:8" x14ac:dyDescent="0.35">
      <c r="H1535" s="1"/>
    </row>
    <row r="1536" spans="8:8" x14ac:dyDescent="0.35">
      <c r="H1536" s="1"/>
    </row>
    <row r="1537" spans="8:8" x14ac:dyDescent="0.35">
      <c r="H1537" s="1"/>
    </row>
    <row r="1538" spans="8:8" x14ac:dyDescent="0.35">
      <c r="H1538" s="1"/>
    </row>
    <row r="1539" spans="8:8" x14ac:dyDescent="0.35">
      <c r="H1539" s="1"/>
    </row>
    <row r="1540" spans="8:8" x14ac:dyDescent="0.35">
      <c r="H1540" s="1"/>
    </row>
    <row r="1541" spans="8:8" x14ac:dyDescent="0.35">
      <c r="H1541" s="1"/>
    </row>
    <row r="1542" spans="8:8" x14ac:dyDescent="0.35">
      <c r="H1542" s="1"/>
    </row>
    <row r="1543" spans="8:8" x14ac:dyDescent="0.35">
      <c r="H1543" s="1"/>
    </row>
    <row r="1544" spans="8:8" x14ac:dyDescent="0.35">
      <c r="H1544" s="1"/>
    </row>
    <row r="1545" spans="8:8" x14ac:dyDescent="0.35">
      <c r="H1545" s="1"/>
    </row>
    <row r="1546" spans="8:8" x14ac:dyDescent="0.35">
      <c r="H1546" s="1"/>
    </row>
    <row r="1547" spans="8:8" x14ac:dyDescent="0.35">
      <c r="H1547" s="1"/>
    </row>
    <row r="1548" spans="8:8" x14ac:dyDescent="0.35">
      <c r="H1548" s="1"/>
    </row>
    <row r="1549" spans="8:8" x14ac:dyDescent="0.35">
      <c r="H1549" s="1"/>
    </row>
    <row r="1550" spans="8:8" x14ac:dyDescent="0.35">
      <c r="H1550" s="1"/>
    </row>
    <row r="1551" spans="8:8" x14ac:dyDescent="0.35">
      <c r="H1551" s="1"/>
    </row>
    <row r="1552" spans="8:8" x14ac:dyDescent="0.35">
      <c r="H1552" s="1"/>
    </row>
    <row r="1553" spans="8:8" x14ac:dyDescent="0.35">
      <c r="H1553" s="1"/>
    </row>
    <row r="1554" spans="8:8" x14ac:dyDescent="0.35">
      <c r="H1554" s="1"/>
    </row>
    <row r="1555" spans="8:8" x14ac:dyDescent="0.35">
      <c r="H1555" s="1"/>
    </row>
    <row r="1556" spans="8:8" x14ac:dyDescent="0.35">
      <c r="H1556" s="1"/>
    </row>
    <row r="1557" spans="8:8" x14ac:dyDescent="0.35">
      <c r="H1557" s="1"/>
    </row>
    <row r="1558" spans="8:8" x14ac:dyDescent="0.35">
      <c r="H1558" s="1"/>
    </row>
    <row r="1559" spans="8:8" x14ac:dyDescent="0.35">
      <c r="H1559" s="1"/>
    </row>
    <row r="1560" spans="8:8" x14ac:dyDescent="0.35">
      <c r="H1560" s="1"/>
    </row>
    <row r="1561" spans="8:8" x14ac:dyDescent="0.35">
      <c r="H1561" s="1"/>
    </row>
    <row r="1562" spans="8:8" x14ac:dyDescent="0.35">
      <c r="H1562" s="1"/>
    </row>
    <row r="1563" spans="8:8" x14ac:dyDescent="0.35">
      <c r="H1563" s="1"/>
    </row>
    <row r="1564" spans="8:8" x14ac:dyDescent="0.35">
      <c r="H1564" s="1"/>
    </row>
    <row r="1565" spans="8:8" x14ac:dyDescent="0.35">
      <c r="H1565" s="1"/>
    </row>
    <row r="1566" spans="8:8" x14ac:dyDescent="0.35">
      <c r="H1566" s="1"/>
    </row>
    <row r="1567" spans="8:8" x14ac:dyDescent="0.35">
      <c r="H1567" s="1"/>
    </row>
    <row r="1568" spans="8:8" x14ac:dyDescent="0.35">
      <c r="H1568" s="1"/>
    </row>
    <row r="1569" spans="8:8" x14ac:dyDescent="0.35">
      <c r="H1569" s="1"/>
    </row>
    <row r="1570" spans="8:8" x14ac:dyDescent="0.35">
      <c r="H1570" s="1"/>
    </row>
    <row r="1571" spans="8:8" x14ac:dyDescent="0.35">
      <c r="H1571" s="1"/>
    </row>
    <row r="1572" spans="8:8" x14ac:dyDescent="0.35">
      <c r="H1572" s="1"/>
    </row>
    <row r="1573" spans="8:8" x14ac:dyDescent="0.35">
      <c r="H1573" s="1"/>
    </row>
    <row r="1574" spans="8:8" x14ac:dyDescent="0.35">
      <c r="H1574" s="1"/>
    </row>
    <row r="1575" spans="8:8" x14ac:dyDescent="0.35">
      <c r="H1575" s="1"/>
    </row>
    <row r="1576" spans="8:8" x14ac:dyDescent="0.35">
      <c r="H1576" s="1"/>
    </row>
    <row r="1577" spans="8:8" x14ac:dyDescent="0.35">
      <c r="H1577" s="1"/>
    </row>
    <row r="1578" spans="8:8" x14ac:dyDescent="0.35">
      <c r="H1578" s="1"/>
    </row>
    <row r="1579" spans="8:8" x14ac:dyDescent="0.35">
      <c r="H1579" s="1"/>
    </row>
    <row r="1580" spans="8:8" x14ac:dyDescent="0.35">
      <c r="H1580" s="1"/>
    </row>
    <row r="1581" spans="8:8" x14ac:dyDescent="0.35">
      <c r="H1581" s="1"/>
    </row>
    <row r="1582" spans="8:8" x14ac:dyDescent="0.35">
      <c r="H1582" s="1"/>
    </row>
    <row r="1583" spans="8:8" x14ac:dyDescent="0.35">
      <c r="H1583" s="1"/>
    </row>
    <row r="1584" spans="8:8" x14ac:dyDescent="0.35">
      <c r="H1584" s="1"/>
    </row>
    <row r="1585" spans="8:8" x14ac:dyDescent="0.35">
      <c r="H1585" s="1"/>
    </row>
    <row r="1586" spans="8:8" x14ac:dyDescent="0.35">
      <c r="H1586" s="1"/>
    </row>
    <row r="1587" spans="8:8" x14ac:dyDescent="0.35">
      <c r="H1587" s="1"/>
    </row>
    <row r="1588" spans="8:8" x14ac:dyDescent="0.35">
      <c r="H1588" s="1"/>
    </row>
    <row r="1589" spans="8:8" x14ac:dyDescent="0.35">
      <c r="H1589" s="1"/>
    </row>
    <row r="1590" spans="8:8" x14ac:dyDescent="0.35">
      <c r="H1590" s="1"/>
    </row>
    <row r="1591" spans="8:8" x14ac:dyDescent="0.35">
      <c r="H1591" s="1"/>
    </row>
    <row r="1592" spans="8:8" x14ac:dyDescent="0.35">
      <c r="H1592" s="1"/>
    </row>
    <row r="1593" spans="8:8" x14ac:dyDescent="0.35">
      <c r="H1593" s="1"/>
    </row>
    <row r="1594" spans="8:8" x14ac:dyDescent="0.35">
      <c r="H1594" s="1"/>
    </row>
    <row r="1595" spans="8:8" x14ac:dyDescent="0.35">
      <c r="H1595" s="1"/>
    </row>
    <row r="1596" spans="8:8" x14ac:dyDescent="0.35">
      <c r="H1596" s="1"/>
    </row>
    <row r="1597" spans="8:8" x14ac:dyDescent="0.35">
      <c r="H1597" s="1"/>
    </row>
    <row r="1598" spans="8:8" x14ac:dyDescent="0.35">
      <c r="H1598" s="1"/>
    </row>
    <row r="1599" spans="8:8" x14ac:dyDescent="0.35">
      <c r="H1599" s="1"/>
    </row>
    <row r="1600" spans="8:8" x14ac:dyDescent="0.35">
      <c r="H1600" s="1"/>
    </row>
    <row r="1601" spans="8:8" x14ac:dyDescent="0.35">
      <c r="H1601" s="1"/>
    </row>
    <row r="1602" spans="8:8" x14ac:dyDescent="0.35">
      <c r="H1602" s="1"/>
    </row>
    <row r="1603" spans="8:8" x14ac:dyDescent="0.35">
      <c r="H1603" s="1"/>
    </row>
    <row r="1604" spans="8:8" x14ac:dyDescent="0.35">
      <c r="H1604" s="1"/>
    </row>
    <row r="1605" spans="8:8" x14ac:dyDescent="0.35">
      <c r="H1605" s="1"/>
    </row>
    <row r="1606" spans="8:8" x14ac:dyDescent="0.35">
      <c r="H1606" s="1"/>
    </row>
    <row r="1607" spans="8:8" x14ac:dyDescent="0.35">
      <c r="H1607" s="1"/>
    </row>
    <row r="1608" spans="8:8" x14ac:dyDescent="0.35">
      <c r="H1608" s="1"/>
    </row>
    <row r="1609" spans="8:8" x14ac:dyDescent="0.35">
      <c r="H1609" s="1"/>
    </row>
    <row r="1610" spans="8:8" x14ac:dyDescent="0.35">
      <c r="H1610" s="1"/>
    </row>
    <row r="1611" spans="8:8" x14ac:dyDescent="0.35">
      <c r="H1611" s="1"/>
    </row>
    <row r="1612" spans="8:8" x14ac:dyDescent="0.35">
      <c r="H1612" s="1"/>
    </row>
    <row r="1613" spans="8:8" x14ac:dyDescent="0.35">
      <c r="H1613" s="1"/>
    </row>
    <row r="1614" spans="8:8" x14ac:dyDescent="0.35">
      <c r="H1614" s="1"/>
    </row>
    <row r="1615" spans="8:8" x14ac:dyDescent="0.35">
      <c r="H1615" s="1"/>
    </row>
    <row r="1616" spans="8:8" x14ac:dyDescent="0.35">
      <c r="H1616" s="1"/>
    </row>
    <row r="1617" spans="8:8" x14ac:dyDescent="0.35">
      <c r="H1617" s="1"/>
    </row>
    <row r="1618" spans="8:8" x14ac:dyDescent="0.35">
      <c r="H1618" s="1"/>
    </row>
    <row r="1619" spans="8:8" x14ac:dyDescent="0.35">
      <c r="H1619" s="1"/>
    </row>
    <row r="1620" spans="8:8" x14ac:dyDescent="0.35">
      <c r="H1620" s="1"/>
    </row>
    <row r="1621" spans="8:8" x14ac:dyDescent="0.35">
      <c r="H1621" s="1"/>
    </row>
    <row r="1622" spans="8:8" x14ac:dyDescent="0.35">
      <c r="H1622" s="1"/>
    </row>
    <row r="1623" spans="8:8" x14ac:dyDescent="0.35">
      <c r="H1623" s="1"/>
    </row>
    <row r="1624" spans="8:8" x14ac:dyDescent="0.35">
      <c r="H1624" s="1"/>
    </row>
    <row r="1625" spans="8:8" x14ac:dyDescent="0.35">
      <c r="H1625" s="1"/>
    </row>
    <row r="1626" spans="8:8" x14ac:dyDescent="0.35">
      <c r="H1626" s="1"/>
    </row>
    <row r="1627" spans="8:8" x14ac:dyDescent="0.35">
      <c r="H1627" s="1"/>
    </row>
    <row r="1628" spans="8:8" x14ac:dyDescent="0.35">
      <c r="H1628" s="1"/>
    </row>
    <row r="1629" spans="8:8" x14ac:dyDescent="0.35">
      <c r="H1629" s="1"/>
    </row>
    <row r="1630" spans="8:8" x14ac:dyDescent="0.35">
      <c r="H1630" s="1"/>
    </row>
    <row r="1631" spans="8:8" x14ac:dyDescent="0.35">
      <c r="H1631" s="1"/>
    </row>
    <row r="1632" spans="8:8" x14ac:dyDescent="0.35">
      <c r="H1632" s="1"/>
    </row>
    <row r="1633" spans="8:8" x14ac:dyDescent="0.35">
      <c r="H1633" s="1"/>
    </row>
    <row r="1634" spans="8:8" x14ac:dyDescent="0.35">
      <c r="H1634" s="1"/>
    </row>
    <row r="1635" spans="8:8" x14ac:dyDescent="0.35">
      <c r="H1635" s="1"/>
    </row>
    <row r="1636" spans="8:8" x14ac:dyDescent="0.35">
      <c r="H1636" s="1"/>
    </row>
    <row r="1637" spans="8:8" x14ac:dyDescent="0.35">
      <c r="H1637" s="1"/>
    </row>
    <row r="1638" spans="8:8" x14ac:dyDescent="0.35">
      <c r="H1638" s="1"/>
    </row>
    <row r="1639" spans="8:8" x14ac:dyDescent="0.35">
      <c r="H1639" s="1"/>
    </row>
    <row r="1640" spans="8:8" x14ac:dyDescent="0.35">
      <c r="H1640" s="1"/>
    </row>
    <row r="1641" spans="8:8" x14ac:dyDescent="0.35">
      <c r="H1641" s="1"/>
    </row>
    <row r="1642" spans="8:8" x14ac:dyDescent="0.35">
      <c r="H1642" s="1"/>
    </row>
    <row r="1643" spans="8:8" x14ac:dyDescent="0.35">
      <c r="H1643" s="1"/>
    </row>
    <row r="1644" spans="8:8" x14ac:dyDescent="0.35">
      <c r="H1644" s="1"/>
    </row>
    <row r="1645" spans="8:8" x14ac:dyDescent="0.35">
      <c r="H1645" s="1"/>
    </row>
    <row r="1646" spans="8:8" x14ac:dyDescent="0.35">
      <c r="H1646" s="1"/>
    </row>
    <row r="1647" spans="8:8" x14ac:dyDescent="0.35">
      <c r="H1647" s="1"/>
    </row>
    <row r="1648" spans="8:8" x14ac:dyDescent="0.35">
      <c r="H1648" s="1"/>
    </row>
    <row r="1649" spans="8:8" x14ac:dyDescent="0.35">
      <c r="H1649" s="1"/>
    </row>
    <row r="1650" spans="8:8" x14ac:dyDescent="0.35">
      <c r="H1650" s="1"/>
    </row>
    <row r="1651" spans="8:8" x14ac:dyDescent="0.35">
      <c r="H1651" s="1"/>
    </row>
    <row r="1652" spans="8:8" x14ac:dyDescent="0.35">
      <c r="H1652" s="1"/>
    </row>
    <row r="1653" spans="8:8" x14ac:dyDescent="0.35">
      <c r="H1653" s="1"/>
    </row>
    <row r="1654" spans="8:8" x14ac:dyDescent="0.35">
      <c r="H1654" s="1"/>
    </row>
    <row r="1655" spans="8:8" x14ac:dyDescent="0.35">
      <c r="H1655" s="1"/>
    </row>
    <row r="1656" spans="8:8" x14ac:dyDescent="0.35">
      <c r="H1656" s="1"/>
    </row>
    <row r="1657" spans="8:8" x14ac:dyDescent="0.35">
      <c r="H1657" s="1"/>
    </row>
    <row r="1658" spans="8:8" x14ac:dyDescent="0.35">
      <c r="H1658" s="1"/>
    </row>
    <row r="1659" spans="8:8" x14ac:dyDescent="0.35">
      <c r="H1659" s="1"/>
    </row>
    <row r="1660" spans="8:8" x14ac:dyDescent="0.35">
      <c r="H1660" s="1"/>
    </row>
    <row r="1661" spans="8:8" x14ac:dyDescent="0.35">
      <c r="H1661" s="1"/>
    </row>
    <row r="1662" spans="8:8" x14ac:dyDescent="0.35">
      <c r="H1662" s="1"/>
    </row>
    <row r="1663" spans="8:8" x14ac:dyDescent="0.35">
      <c r="H1663" s="1"/>
    </row>
    <row r="1664" spans="8:8" x14ac:dyDescent="0.35">
      <c r="H1664" s="1"/>
    </row>
    <row r="1665" spans="8:8" x14ac:dyDescent="0.35">
      <c r="H1665" s="1"/>
    </row>
    <row r="1666" spans="8:8" x14ac:dyDescent="0.35">
      <c r="H1666" s="1"/>
    </row>
    <row r="1667" spans="8:8" x14ac:dyDescent="0.35">
      <c r="H1667" s="1"/>
    </row>
    <row r="1668" spans="8:8" x14ac:dyDescent="0.35">
      <c r="H1668" s="1"/>
    </row>
    <row r="1669" spans="8:8" x14ac:dyDescent="0.35">
      <c r="H1669" s="1"/>
    </row>
    <row r="1670" spans="8:8" x14ac:dyDescent="0.35">
      <c r="H1670" s="1"/>
    </row>
    <row r="1671" spans="8:8" x14ac:dyDescent="0.35">
      <c r="H1671" s="1"/>
    </row>
    <row r="1672" spans="8:8" x14ac:dyDescent="0.35">
      <c r="H1672" s="1"/>
    </row>
    <row r="1673" spans="8:8" x14ac:dyDescent="0.35">
      <c r="H1673" s="1"/>
    </row>
    <row r="1674" spans="8:8" x14ac:dyDescent="0.35">
      <c r="H1674" s="1"/>
    </row>
    <row r="1675" spans="8:8" x14ac:dyDescent="0.35">
      <c r="H1675" s="1"/>
    </row>
    <row r="1676" spans="8:8" x14ac:dyDescent="0.35">
      <c r="H1676" s="1"/>
    </row>
    <row r="1677" spans="8:8" x14ac:dyDescent="0.35">
      <c r="H1677" s="1"/>
    </row>
    <row r="1678" spans="8:8" x14ac:dyDescent="0.35">
      <c r="H1678" s="1"/>
    </row>
    <row r="1679" spans="8:8" x14ac:dyDescent="0.35">
      <c r="H1679" s="1"/>
    </row>
    <row r="1680" spans="8:8" x14ac:dyDescent="0.35">
      <c r="H1680" s="1"/>
    </row>
    <row r="1681" spans="8:8" x14ac:dyDescent="0.35">
      <c r="H1681" s="1"/>
    </row>
    <row r="1682" spans="8:8" x14ac:dyDescent="0.35">
      <c r="H1682" s="1"/>
    </row>
    <row r="1683" spans="8:8" x14ac:dyDescent="0.35">
      <c r="H1683" s="1"/>
    </row>
    <row r="1684" spans="8:8" x14ac:dyDescent="0.35">
      <c r="H1684" s="1"/>
    </row>
    <row r="1685" spans="8:8" x14ac:dyDescent="0.35">
      <c r="H1685" s="1"/>
    </row>
    <row r="1686" spans="8:8" x14ac:dyDescent="0.35">
      <c r="H1686" s="1"/>
    </row>
    <row r="1687" spans="8:8" x14ac:dyDescent="0.35">
      <c r="H1687" s="1"/>
    </row>
    <row r="1688" spans="8:8" x14ac:dyDescent="0.35">
      <c r="H1688" s="1"/>
    </row>
    <row r="1689" spans="8:8" x14ac:dyDescent="0.35">
      <c r="H1689" s="1"/>
    </row>
    <row r="1690" spans="8:8" x14ac:dyDescent="0.35">
      <c r="H1690" s="1"/>
    </row>
    <row r="1691" spans="8:8" x14ac:dyDescent="0.35">
      <c r="H1691" s="1"/>
    </row>
    <row r="1692" spans="8:8" x14ac:dyDescent="0.35">
      <c r="H1692" s="1"/>
    </row>
    <row r="1693" spans="8:8" x14ac:dyDescent="0.35">
      <c r="H1693" s="1"/>
    </row>
    <row r="1694" spans="8:8" x14ac:dyDescent="0.35">
      <c r="H1694" s="1"/>
    </row>
    <row r="1695" spans="8:8" x14ac:dyDescent="0.35">
      <c r="H1695" s="1"/>
    </row>
    <row r="1696" spans="8:8" x14ac:dyDescent="0.35">
      <c r="H1696" s="1"/>
    </row>
    <row r="1697" spans="8:8" x14ac:dyDescent="0.35">
      <c r="H1697" s="1"/>
    </row>
    <row r="1698" spans="8:8" x14ac:dyDescent="0.35">
      <c r="H1698" s="1"/>
    </row>
    <row r="1699" spans="8:8" x14ac:dyDescent="0.35">
      <c r="H1699" s="1"/>
    </row>
    <row r="1700" spans="8:8" x14ac:dyDescent="0.35">
      <c r="H1700" s="1"/>
    </row>
    <row r="1701" spans="8:8" x14ac:dyDescent="0.35">
      <c r="H1701" s="1"/>
    </row>
    <row r="1702" spans="8:8" x14ac:dyDescent="0.35">
      <c r="H1702" s="1"/>
    </row>
    <row r="1703" spans="8:8" x14ac:dyDescent="0.35">
      <c r="H1703" s="1"/>
    </row>
    <row r="1704" spans="8:8" x14ac:dyDescent="0.35">
      <c r="H1704" s="1"/>
    </row>
    <row r="1705" spans="8:8" x14ac:dyDescent="0.35">
      <c r="H1705" s="1"/>
    </row>
    <row r="1706" spans="8:8" x14ac:dyDescent="0.35">
      <c r="H1706" s="1"/>
    </row>
    <row r="1707" spans="8:8" x14ac:dyDescent="0.35">
      <c r="H1707" s="1"/>
    </row>
    <row r="1708" spans="8:8" x14ac:dyDescent="0.35">
      <c r="H1708" s="1"/>
    </row>
    <row r="1709" spans="8:8" x14ac:dyDescent="0.35">
      <c r="H1709" s="1"/>
    </row>
    <row r="1710" spans="8:8" x14ac:dyDescent="0.35">
      <c r="H1710" s="1"/>
    </row>
    <row r="1711" spans="8:8" x14ac:dyDescent="0.35">
      <c r="H1711" s="1"/>
    </row>
    <row r="1712" spans="8:8" x14ac:dyDescent="0.35">
      <c r="H1712" s="1"/>
    </row>
    <row r="1713" spans="8:8" x14ac:dyDescent="0.35">
      <c r="H1713" s="1"/>
    </row>
    <row r="1714" spans="8:8" x14ac:dyDescent="0.35">
      <c r="H1714" s="1"/>
    </row>
    <row r="1715" spans="8:8" x14ac:dyDescent="0.35">
      <c r="H1715" s="1"/>
    </row>
    <row r="1716" spans="8:8" x14ac:dyDescent="0.35">
      <c r="H1716" s="1"/>
    </row>
    <row r="1717" spans="8:8" x14ac:dyDescent="0.35">
      <c r="H1717" s="1"/>
    </row>
    <row r="1718" spans="8:8" x14ac:dyDescent="0.35">
      <c r="H1718" s="1"/>
    </row>
    <row r="1719" spans="8:8" x14ac:dyDescent="0.35">
      <c r="H1719" s="1"/>
    </row>
    <row r="1720" spans="8:8" x14ac:dyDescent="0.35">
      <c r="H1720" s="1"/>
    </row>
    <row r="1721" spans="8:8" x14ac:dyDescent="0.35">
      <c r="H1721" s="1"/>
    </row>
    <row r="1722" spans="8:8" x14ac:dyDescent="0.35">
      <c r="H1722" s="1"/>
    </row>
    <row r="1723" spans="8:8" x14ac:dyDescent="0.35">
      <c r="H1723" s="1"/>
    </row>
    <row r="1724" spans="8:8" x14ac:dyDescent="0.35">
      <c r="H1724" s="1"/>
    </row>
    <row r="1725" spans="8:8" x14ac:dyDescent="0.35">
      <c r="H1725" s="1"/>
    </row>
    <row r="1726" spans="8:8" x14ac:dyDescent="0.35">
      <c r="H1726" s="1"/>
    </row>
    <row r="1727" spans="8:8" x14ac:dyDescent="0.35">
      <c r="H1727" s="1"/>
    </row>
    <row r="1728" spans="8:8" x14ac:dyDescent="0.35">
      <c r="H1728" s="1"/>
    </row>
    <row r="1729" spans="8:8" x14ac:dyDescent="0.35">
      <c r="H1729" s="1"/>
    </row>
    <row r="1730" spans="8:8" x14ac:dyDescent="0.35">
      <c r="H1730" s="1"/>
    </row>
    <row r="1731" spans="8:8" x14ac:dyDescent="0.35">
      <c r="H1731" s="1"/>
    </row>
    <row r="1732" spans="8:8" x14ac:dyDescent="0.35">
      <c r="H1732" s="1"/>
    </row>
    <row r="1733" spans="8:8" x14ac:dyDescent="0.35">
      <c r="H1733" s="1"/>
    </row>
    <row r="1734" spans="8:8" x14ac:dyDescent="0.35">
      <c r="H1734" s="1"/>
    </row>
    <row r="1735" spans="8:8" x14ac:dyDescent="0.35">
      <c r="H1735" s="1"/>
    </row>
    <row r="1736" spans="8:8" x14ac:dyDescent="0.35">
      <c r="H1736" s="1"/>
    </row>
    <row r="1737" spans="8:8" x14ac:dyDescent="0.35">
      <c r="H1737" s="1"/>
    </row>
    <row r="1738" spans="8:8" x14ac:dyDescent="0.35">
      <c r="H1738" s="1"/>
    </row>
    <row r="1739" spans="8:8" x14ac:dyDescent="0.35">
      <c r="H1739" s="1"/>
    </row>
    <row r="1740" spans="8:8" x14ac:dyDescent="0.35">
      <c r="H1740" s="1"/>
    </row>
    <row r="1741" spans="8:8" x14ac:dyDescent="0.35">
      <c r="H1741" s="1"/>
    </row>
    <row r="1742" spans="8:8" x14ac:dyDescent="0.35">
      <c r="H1742" s="1"/>
    </row>
    <row r="1743" spans="8:8" x14ac:dyDescent="0.35">
      <c r="H1743" s="1"/>
    </row>
    <row r="1744" spans="8:8" x14ac:dyDescent="0.35">
      <c r="H1744" s="1"/>
    </row>
    <row r="1745" spans="8:8" x14ac:dyDescent="0.35">
      <c r="H1745" s="1"/>
    </row>
    <row r="1746" spans="8:8" x14ac:dyDescent="0.35">
      <c r="H1746" s="1"/>
    </row>
    <row r="1747" spans="8:8" x14ac:dyDescent="0.35">
      <c r="H1747" s="1"/>
    </row>
    <row r="1748" spans="8:8" x14ac:dyDescent="0.35">
      <c r="H1748" s="1"/>
    </row>
    <row r="1749" spans="8:8" x14ac:dyDescent="0.35">
      <c r="H1749" s="1"/>
    </row>
    <row r="1750" spans="8:8" x14ac:dyDescent="0.35">
      <c r="H1750" s="1"/>
    </row>
    <row r="1751" spans="8:8" x14ac:dyDescent="0.35">
      <c r="H1751" s="1"/>
    </row>
    <row r="1752" spans="8:8" x14ac:dyDescent="0.35">
      <c r="H1752" s="1"/>
    </row>
    <row r="1753" spans="8:8" x14ac:dyDescent="0.35">
      <c r="H1753" s="1"/>
    </row>
    <row r="1754" spans="8:8" x14ac:dyDescent="0.35">
      <c r="H1754" s="1"/>
    </row>
    <row r="1755" spans="8:8" x14ac:dyDescent="0.35">
      <c r="H1755" s="1"/>
    </row>
    <row r="1756" spans="8:8" x14ac:dyDescent="0.35">
      <c r="H1756" s="1"/>
    </row>
    <row r="1757" spans="8:8" x14ac:dyDescent="0.35">
      <c r="H1757" s="1"/>
    </row>
    <row r="1758" spans="8:8" x14ac:dyDescent="0.35">
      <c r="H1758" s="1"/>
    </row>
    <row r="1759" spans="8:8" x14ac:dyDescent="0.35">
      <c r="H1759" s="1"/>
    </row>
    <row r="1760" spans="8:8" x14ac:dyDescent="0.35">
      <c r="H1760" s="1"/>
    </row>
    <row r="1761" spans="8:8" x14ac:dyDescent="0.35">
      <c r="H1761" s="1"/>
    </row>
    <row r="1762" spans="8:8" x14ac:dyDescent="0.35">
      <c r="H1762" s="1"/>
    </row>
    <row r="1763" spans="8:8" x14ac:dyDescent="0.35">
      <c r="H1763" s="1"/>
    </row>
    <row r="1764" spans="8:8" x14ac:dyDescent="0.35">
      <c r="H1764" s="1"/>
    </row>
    <row r="1765" spans="8:8" x14ac:dyDescent="0.35">
      <c r="H1765" s="1"/>
    </row>
    <row r="1766" spans="8:8" x14ac:dyDescent="0.35">
      <c r="H1766" s="1"/>
    </row>
    <row r="1767" spans="8:8" x14ac:dyDescent="0.35">
      <c r="H1767" s="1"/>
    </row>
    <row r="1768" spans="8:8" x14ac:dyDescent="0.35">
      <c r="H1768" s="1"/>
    </row>
    <row r="1769" spans="8:8" x14ac:dyDescent="0.35">
      <c r="H1769" s="1"/>
    </row>
    <row r="1770" spans="8:8" x14ac:dyDescent="0.35">
      <c r="H1770" s="1"/>
    </row>
    <row r="1771" spans="8:8" x14ac:dyDescent="0.35">
      <c r="H1771" s="1"/>
    </row>
    <row r="1772" spans="8:8" x14ac:dyDescent="0.35">
      <c r="H1772" s="1"/>
    </row>
    <row r="1773" spans="8:8" x14ac:dyDescent="0.35">
      <c r="H1773" s="1"/>
    </row>
    <row r="1774" spans="8:8" x14ac:dyDescent="0.35">
      <c r="H1774" s="1"/>
    </row>
    <row r="1775" spans="8:8" x14ac:dyDescent="0.35">
      <c r="H1775" s="1"/>
    </row>
    <row r="1776" spans="8:8" x14ac:dyDescent="0.35">
      <c r="H1776" s="1"/>
    </row>
    <row r="1777" spans="8:8" x14ac:dyDescent="0.35">
      <c r="H1777" s="1"/>
    </row>
    <row r="1778" spans="8:8" x14ac:dyDescent="0.35">
      <c r="H1778" s="1"/>
    </row>
    <row r="1779" spans="8:8" x14ac:dyDescent="0.35">
      <c r="H1779" s="1"/>
    </row>
    <row r="1780" spans="8:8" x14ac:dyDescent="0.35">
      <c r="H1780" s="1"/>
    </row>
    <row r="1781" spans="8:8" x14ac:dyDescent="0.35">
      <c r="H1781" s="1"/>
    </row>
    <row r="1782" spans="8:8" x14ac:dyDescent="0.35">
      <c r="H1782" s="1"/>
    </row>
    <row r="1783" spans="8:8" x14ac:dyDescent="0.35">
      <c r="H1783" s="1"/>
    </row>
    <row r="1784" spans="8:8" x14ac:dyDescent="0.35">
      <c r="H1784" s="1"/>
    </row>
    <row r="1785" spans="8:8" x14ac:dyDescent="0.35">
      <c r="H1785" s="1"/>
    </row>
    <row r="1786" spans="8:8" x14ac:dyDescent="0.35">
      <c r="H1786" s="1"/>
    </row>
    <row r="1787" spans="8:8" x14ac:dyDescent="0.35">
      <c r="H1787" s="1"/>
    </row>
    <row r="1788" spans="8:8" x14ac:dyDescent="0.35">
      <c r="H1788" s="1"/>
    </row>
    <row r="1789" spans="8:8" x14ac:dyDescent="0.35">
      <c r="H1789" s="1"/>
    </row>
    <row r="1790" spans="8:8" x14ac:dyDescent="0.35">
      <c r="H1790" s="1"/>
    </row>
    <row r="1791" spans="8:8" x14ac:dyDescent="0.35">
      <c r="H1791" s="1"/>
    </row>
    <row r="1792" spans="8:8" x14ac:dyDescent="0.35">
      <c r="H1792" s="1"/>
    </row>
    <row r="1793" spans="8:8" x14ac:dyDescent="0.35">
      <c r="H1793" s="1"/>
    </row>
    <row r="1794" spans="8:8" x14ac:dyDescent="0.35">
      <c r="H1794" s="1"/>
    </row>
    <row r="1795" spans="8:8" x14ac:dyDescent="0.35">
      <c r="H1795" s="1"/>
    </row>
    <row r="1796" spans="8:8" x14ac:dyDescent="0.35">
      <c r="H1796" s="1"/>
    </row>
    <row r="1797" spans="8:8" x14ac:dyDescent="0.35">
      <c r="H1797" s="1"/>
    </row>
    <row r="1798" spans="8:8" x14ac:dyDescent="0.35">
      <c r="H1798" s="1"/>
    </row>
    <row r="1799" spans="8:8" x14ac:dyDescent="0.35">
      <c r="H1799" s="1"/>
    </row>
    <row r="1800" spans="8:8" x14ac:dyDescent="0.35">
      <c r="H1800" s="1"/>
    </row>
    <row r="1801" spans="8:8" x14ac:dyDescent="0.35">
      <c r="H1801" s="1"/>
    </row>
    <row r="1802" spans="8:8" x14ac:dyDescent="0.35">
      <c r="H1802" s="1"/>
    </row>
    <row r="1803" spans="8:8" x14ac:dyDescent="0.35">
      <c r="H1803" s="1"/>
    </row>
    <row r="1804" spans="8:8" x14ac:dyDescent="0.35">
      <c r="H1804" s="1"/>
    </row>
    <row r="1805" spans="8:8" x14ac:dyDescent="0.35">
      <c r="H1805" s="1"/>
    </row>
    <row r="1806" spans="8:8" x14ac:dyDescent="0.35">
      <c r="H1806" s="1"/>
    </row>
    <row r="1807" spans="8:8" x14ac:dyDescent="0.35">
      <c r="H1807" s="1"/>
    </row>
    <row r="1808" spans="8:8" x14ac:dyDescent="0.35">
      <c r="H1808" s="1"/>
    </row>
    <row r="1809" spans="8:8" x14ac:dyDescent="0.35">
      <c r="H1809" s="1"/>
    </row>
    <row r="1810" spans="8:8" x14ac:dyDescent="0.35">
      <c r="H1810" s="1"/>
    </row>
    <row r="1811" spans="8:8" x14ac:dyDescent="0.35">
      <c r="H1811" s="1"/>
    </row>
    <row r="1812" spans="8:8" x14ac:dyDescent="0.35">
      <c r="H1812" s="1"/>
    </row>
    <row r="1813" spans="8:8" x14ac:dyDescent="0.35">
      <c r="H1813" s="1"/>
    </row>
    <row r="1814" spans="8:8" x14ac:dyDescent="0.35">
      <c r="H1814" s="1"/>
    </row>
    <row r="1815" spans="8:8" x14ac:dyDescent="0.35">
      <c r="H1815" s="1"/>
    </row>
    <row r="1816" spans="8:8" x14ac:dyDescent="0.35">
      <c r="H1816" s="1"/>
    </row>
    <row r="1817" spans="8:8" x14ac:dyDescent="0.35">
      <c r="H1817" s="1"/>
    </row>
    <row r="1818" spans="8:8" x14ac:dyDescent="0.35">
      <c r="H1818" s="1"/>
    </row>
    <row r="1819" spans="8:8" x14ac:dyDescent="0.35">
      <c r="H1819" s="1"/>
    </row>
    <row r="1820" spans="8:8" x14ac:dyDescent="0.35">
      <c r="H1820" s="1"/>
    </row>
    <row r="1821" spans="8:8" x14ac:dyDescent="0.35">
      <c r="H1821" s="1"/>
    </row>
    <row r="1822" spans="8:8" x14ac:dyDescent="0.35">
      <c r="H1822" s="1"/>
    </row>
    <row r="1823" spans="8:8" x14ac:dyDescent="0.35">
      <c r="H1823" s="1"/>
    </row>
    <row r="1824" spans="8:8" x14ac:dyDescent="0.35">
      <c r="H1824" s="1"/>
    </row>
    <row r="1825" spans="8:8" x14ac:dyDescent="0.35">
      <c r="H1825" s="1"/>
    </row>
    <row r="1826" spans="8:8" x14ac:dyDescent="0.35">
      <c r="H1826" s="1"/>
    </row>
    <row r="1827" spans="8:8" x14ac:dyDescent="0.35">
      <c r="H1827" s="1"/>
    </row>
    <row r="1828" spans="8:8" x14ac:dyDescent="0.35">
      <c r="H1828" s="1"/>
    </row>
    <row r="1829" spans="8:8" x14ac:dyDescent="0.35">
      <c r="H1829" s="1"/>
    </row>
    <row r="1830" spans="8:8" x14ac:dyDescent="0.35">
      <c r="H1830" s="1"/>
    </row>
    <row r="1831" spans="8:8" x14ac:dyDescent="0.35">
      <c r="H1831" s="1"/>
    </row>
    <row r="1832" spans="8:8" x14ac:dyDescent="0.35">
      <c r="H1832" s="1"/>
    </row>
    <row r="1833" spans="8:8" x14ac:dyDescent="0.35">
      <c r="H1833" s="1"/>
    </row>
    <row r="1834" spans="8:8" x14ac:dyDescent="0.35">
      <c r="H1834" s="1"/>
    </row>
    <row r="1835" spans="8:8" x14ac:dyDescent="0.35">
      <c r="H1835" s="1"/>
    </row>
    <row r="1836" spans="8:8" x14ac:dyDescent="0.35">
      <c r="H1836" s="1"/>
    </row>
    <row r="1837" spans="8:8" x14ac:dyDescent="0.35">
      <c r="H1837" s="1"/>
    </row>
    <row r="1838" spans="8:8" x14ac:dyDescent="0.35">
      <c r="H1838" s="1"/>
    </row>
    <row r="1839" spans="8:8" x14ac:dyDescent="0.35">
      <c r="H1839" s="1"/>
    </row>
    <row r="1840" spans="8:8" x14ac:dyDescent="0.35">
      <c r="H1840" s="1"/>
    </row>
    <row r="1841" spans="8:8" x14ac:dyDescent="0.35">
      <c r="H1841" s="1"/>
    </row>
    <row r="1842" spans="8:8" x14ac:dyDescent="0.35">
      <c r="H1842" s="1"/>
    </row>
    <row r="1843" spans="8:8" x14ac:dyDescent="0.35">
      <c r="H1843" s="1"/>
    </row>
    <row r="1844" spans="8:8" x14ac:dyDescent="0.35">
      <c r="H1844" s="1"/>
    </row>
    <row r="1845" spans="8:8" x14ac:dyDescent="0.35">
      <c r="H1845" s="1"/>
    </row>
    <row r="1846" spans="8:8" x14ac:dyDescent="0.35">
      <c r="H1846" s="1"/>
    </row>
    <row r="1847" spans="8:8" x14ac:dyDescent="0.35">
      <c r="H1847" s="1"/>
    </row>
    <row r="1848" spans="8:8" x14ac:dyDescent="0.35">
      <c r="H1848" s="1"/>
    </row>
    <row r="1849" spans="8:8" x14ac:dyDescent="0.35">
      <c r="H1849" s="1"/>
    </row>
    <row r="1850" spans="8:8" x14ac:dyDescent="0.35">
      <c r="H1850" s="1"/>
    </row>
    <row r="1851" spans="8:8" x14ac:dyDescent="0.35">
      <c r="H1851" s="1"/>
    </row>
    <row r="1852" spans="8:8" x14ac:dyDescent="0.35">
      <c r="H1852" s="1"/>
    </row>
    <row r="1853" spans="8:8" x14ac:dyDescent="0.35">
      <c r="H1853" s="1"/>
    </row>
    <row r="1854" spans="8:8" x14ac:dyDescent="0.35">
      <c r="H1854" s="1"/>
    </row>
    <row r="1855" spans="8:8" x14ac:dyDescent="0.35">
      <c r="H1855" s="1"/>
    </row>
    <row r="1856" spans="8:8" x14ac:dyDescent="0.35">
      <c r="H1856" s="1"/>
    </row>
    <row r="1857" spans="8:8" x14ac:dyDescent="0.35">
      <c r="H1857" s="1"/>
    </row>
    <row r="1858" spans="8:8" x14ac:dyDescent="0.35">
      <c r="H1858" s="1"/>
    </row>
    <row r="1859" spans="8:8" x14ac:dyDescent="0.35">
      <c r="H1859" s="1"/>
    </row>
    <row r="1860" spans="8:8" x14ac:dyDescent="0.35">
      <c r="H1860" s="1"/>
    </row>
    <row r="1861" spans="8:8" x14ac:dyDescent="0.35">
      <c r="H1861" s="1"/>
    </row>
    <row r="1862" spans="8:8" x14ac:dyDescent="0.35">
      <c r="H1862" s="1"/>
    </row>
    <row r="1863" spans="8:8" x14ac:dyDescent="0.35">
      <c r="H1863" s="1"/>
    </row>
    <row r="1864" spans="8:8" x14ac:dyDescent="0.35">
      <c r="H1864" s="1"/>
    </row>
    <row r="1865" spans="8:8" x14ac:dyDescent="0.35">
      <c r="H1865" s="1"/>
    </row>
    <row r="1866" spans="8:8" x14ac:dyDescent="0.35">
      <c r="H1866" s="1"/>
    </row>
    <row r="1867" spans="8:8" x14ac:dyDescent="0.35">
      <c r="H1867" s="1"/>
    </row>
    <row r="1868" spans="8:8" x14ac:dyDescent="0.35">
      <c r="H1868" s="1"/>
    </row>
    <row r="1869" spans="8:8" x14ac:dyDescent="0.35">
      <c r="H1869" s="1"/>
    </row>
    <row r="1870" spans="8:8" x14ac:dyDescent="0.35">
      <c r="H1870" s="1"/>
    </row>
    <row r="1871" spans="8:8" x14ac:dyDescent="0.35">
      <c r="H1871" s="1"/>
    </row>
    <row r="1872" spans="8:8" x14ac:dyDescent="0.35">
      <c r="H1872" s="1"/>
    </row>
    <row r="1873" spans="8:8" x14ac:dyDescent="0.35">
      <c r="H1873" s="1"/>
    </row>
    <row r="1874" spans="8:8" x14ac:dyDescent="0.35">
      <c r="H1874" s="1"/>
    </row>
    <row r="1875" spans="8:8" x14ac:dyDescent="0.35">
      <c r="H1875" s="1"/>
    </row>
    <row r="1876" spans="8:8" x14ac:dyDescent="0.35">
      <c r="H1876" s="1"/>
    </row>
    <row r="1877" spans="8:8" x14ac:dyDescent="0.35">
      <c r="H1877" s="1"/>
    </row>
    <row r="1878" spans="8:8" x14ac:dyDescent="0.35">
      <c r="H1878" s="1"/>
    </row>
    <row r="1879" spans="8:8" x14ac:dyDescent="0.35">
      <c r="H1879" s="1"/>
    </row>
    <row r="1880" spans="8:8" x14ac:dyDescent="0.35">
      <c r="H1880" s="1"/>
    </row>
    <row r="1881" spans="8:8" x14ac:dyDescent="0.35">
      <c r="H1881" s="1"/>
    </row>
    <row r="1882" spans="8:8" x14ac:dyDescent="0.35">
      <c r="H1882" s="1"/>
    </row>
    <row r="1883" spans="8:8" x14ac:dyDescent="0.35">
      <c r="H1883" s="1"/>
    </row>
    <row r="1884" spans="8:8" x14ac:dyDescent="0.35">
      <c r="H1884" s="1"/>
    </row>
    <row r="1885" spans="8:8" x14ac:dyDescent="0.35">
      <c r="H1885" s="1"/>
    </row>
    <row r="1886" spans="8:8" x14ac:dyDescent="0.35">
      <c r="H1886" s="1"/>
    </row>
    <row r="1887" spans="8:8" x14ac:dyDescent="0.35">
      <c r="H1887" s="1"/>
    </row>
    <row r="1888" spans="8:8" x14ac:dyDescent="0.35">
      <c r="H1888" s="1"/>
    </row>
    <row r="1889" spans="8:8" x14ac:dyDescent="0.35">
      <c r="H1889" s="1"/>
    </row>
    <row r="1890" spans="8:8" x14ac:dyDescent="0.35">
      <c r="H1890" s="1"/>
    </row>
    <row r="1891" spans="8:8" x14ac:dyDescent="0.35">
      <c r="H1891" s="1"/>
    </row>
    <row r="1892" spans="8:8" x14ac:dyDescent="0.35">
      <c r="H1892" s="1"/>
    </row>
    <row r="1893" spans="8:8" x14ac:dyDescent="0.35">
      <c r="H1893" s="1"/>
    </row>
    <row r="1894" spans="8:8" x14ac:dyDescent="0.35">
      <c r="H1894" s="1"/>
    </row>
    <row r="1895" spans="8:8" x14ac:dyDescent="0.35">
      <c r="H1895" s="1"/>
    </row>
    <row r="1896" spans="8:8" x14ac:dyDescent="0.35">
      <c r="H1896" s="1"/>
    </row>
    <row r="1897" spans="8:8" x14ac:dyDescent="0.35">
      <c r="H1897" s="1"/>
    </row>
    <row r="1898" spans="8:8" x14ac:dyDescent="0.35">
      <c r="H1898" s="1"/>
    </row>
    <row r="1899" spans="8:8" x14ac:dyDescent="0.35">
      <c r="H1899" s="1"/>
    </row>
    <row r="1900" spans="8:8" x14ac:dyDescent="0.35">
      <c r="H1900" s="1"/>
    </row>
    <row r="1901" spans="8:8" x14ac:dyDescent="0.35">
      <c r="H1901" s="1"/>
    </row>
    <row r="1902" spans="8:8" x14ac:dyDescent="0.35">
      <c r="H1902" s="1"/>
    </row>
    <row r="1903" spans="8:8" x14ac:dyDescent="0.35">
      <c r="H1903" s="1"/>
    </row>
    <row r="1904" spans="8:8" x14ac:dyDescent="0.35">
      <c r="H1904" s="1"/>
    </row>
    <row r="1905" spans="8:8" x14ac:dyDescent="0.35">
      <c r="H1905" s="1"/>
    </row>
    <row r="1906" spans="8:8" x14ac:dyDescent="0.35">
      <c r="H1906" s="1"/>
    </row>
    <row r="1907" spans="8:8" x14ac:dyDescent="0.35">
      <c r="H1907" s="1"/>
    </row>
    <row r="1908" spans="8:8" x14ac:dyDescent="0.35">
      <c r="H1908" s="1"/>
    </row>
    <row r="1909" spans="8:8" x14ac:dyDescent="0.35">
      <c r="H1909" s="1"/>
    </row>
    <row r="1910" spans="8:8" x14ac:dyDescent="0.35">
      <c r="H1910" s="1"/>
    </row>
    <row r="1911" spans="8:8" x14ac:dyDescent="0.35">
      <c r="H1911" s="1"/>
    </row>
    <row r="1912" spans="8:8" x14ac:dyDescent="0.35">
      <c r="H1912" s="1"/>
    </row>
    <row r="1913" spans="8:8" x14ac:dyDescent="0.35">
      <c r="H1913" s="1"/>
    </row>
    <row r="1914" spans="8:8" x14ac:dyDescent="0.35">
      <c r="H1914" s="1"/>
    </row>
    <row r="1915" spans="8:8" x14ac:dyDescent="0.35">
      <c r="H1915" s="1"/>
    </row>
    <row r="1916" spans="8:8" x14ac:dyDescent="0.35">
      <c r="H1916" s="1"/>
    </row>
    <row r="1917" spans="8:8" x14ac:dyDescent="0.35">
      <c r="H1917" s="1"/>
    </row>
    <row r="1918" spans="8:8" x14ac:dyDescent="0.35">
      <c r="H1918" s="1"/>
    </row>
    <row r="1919" spans="8:8" x14ac:dyDescent="0.35">
      <c r="H1919" s="1"/>
    </row>
    <row r="1920" spans="8:8" x14ac:dyDescent="0.35">
      <c r="H1920" s="1"/>
    </row>
    <row r="1921" spans="8:8" x14ac:dyDescent="0.35">
      <c r="H1921" s="1"/>
    </row>
    <row r="1922" spans="8:8" x14ac:dyDescent="0.35">
      <c r="H1922" s="1"/>
    </row>
    <row r="1923" spans="8:8" x14ac:dyDescent="0.35">
      <c r="H1923" s="1"/>
    </row>
    <row r="1924" spans="8:8" x14ac:dyDescent="0.35">
      <c r="H1924" s="1"/>
    </row>
    <row r="1925" spans="8:8" x14ac:dyDescent="0.35">
      <c r="H1925" s="1"/>
    </row>
    <row r="1926" spans="8:8" x14ac:dyDescent="0.35">
      <c r="H1926" s="1"/>
    </row>
    <row r="1927" spans="8:8" x14ac:dyDescent="0.35">
      <c r="H1927" s="1"/>
    </row>
    <row r="1928" spans="8:8" x14ac:dyDescent="0.35">
      <c r="H1928" s="1"/>
    </row>
    <row r="1929" spans="8:8" x14ac:dyDescent="0.35">
      <c r="H1929" s="1"/>
    </row>
    <row r="1930" spans="8:8" x14ac:dyDescent="0.35">
      <c r="H1930" s="1"/>
    </row>
    <row r="1931" spans="8:8" x14ac:dyDescent="0.35">
      <c r="H1931" s="1"/>
    </row>
    <row r="1932" spans="8:8" x14ac:dyDescent="0.35">
      <c r="H1932" s="1"/>
    </row>
    <row r="1933" spans="8:8" x14ac:dyDescent="0.35">
      <c r="H1933" s="1"/>
    </row>
    <row r="1934" spans="8:8" x14ac:dyDescent="0.35">
      <c r="H1934" s="1"/>
    </row>
    <row r="1935" spans="8:8" x14ac:dyDescent="0.35">
      <c r="H1935" s="1"/>
    </row>
    <row r="1936" spans="8:8" x14ac:dyDescent="0.35">
      <c r="H1936" s="1"/>
    </row>
    <row r="1937" spans="8:8" x14ac:dyDescent="0.35">
      <c r="H1937" s="1"/>
    </row>
    <row r="1938" spans="8:8" x14ac:dyDescent="0.35">
      <c r="H1938" s="1"/>
    </row>
    <row r="1939" spans="8:8" x14ac:dyDescent="0.35">
      <c r="H1939" s="1"/>
    </row>
    <row r="1940" spans="8:8" x14ac:dyDescent="0.35">
      <c r="H1940" s="1"/>
    </row>
    <row r="1941" spans="8:8" x14ac:dyDescent="0.35">
      <c r="H1941" s="1"/>
    </row>
    <row r="1942" spans="8:8" x14ac:dyDescent="0.35">
      <c r="H1942" s="1"/>
    </row>
    <row r="1943" spans="8:8" x14ac:dyDescent="0.35">
      <c r="H1943" s="1"/>
    </row>
    <row r="1944" spans="8:8" x14ac:dyDescent="0.35">
      <c r="H1944" s="1"/>
    </row>
    <row r="1945" spans="8:8" x14ac:dyDescent="0.35">
      <c r="H1945" s="1"/>
    </row>
    <row r="1946" spans="8:8" x14ac:dyDescent="0.35">
      <c r="H1946" s="1"/>
    </row>
    <row r="1947" spans="8:8" x14ac:dyDescent="0.35">
      <c r="H1947" s="1"/>
    </row>
    <row r="1948" spans="8:8" x14ac:dyDescent="0.35">
      <c r="H1948" s="1"/>
    </row>
    <row r="1949" spans="8:8" x14ac:dyDescent="0.35">
      <c r="H1949" s="1"/>
    </row>
    <row r="1950" spans="8:8" x14ac:dyDescent="0.35">
      <c r="H1950" s="1"/>
    </row>
    <row r="1951" spans="8:8" x14ac:dyDescent="0.35">
      <c r="H1951" s="1"/>
    </row>
    <row r="1952" spans="8:8" x14ac:dyDescent="0.35">
      <c r="H1952" s="1"/>
    </row>
    <row r="1953" spans="8:8" x14ac:dyDescent="0.35">
      <c r="H1953" s="1"/>
    </row>
    <row r="1954" spans="8:8" x14ac:dyDescent="0.35">
      <c r="H1954" s="1"/>
    </row>
    <row r="1955" spans="8:8" x14ac:dyDescent="0.35">
      <c r="H1955" s="1"/>
    </row>
    <row r="1956" spans="8:8" x14ac:dyDescent="0.35">
      <c r="H1956" s="1"/>
    </row>
    <row r="1957" spans="8:8" x14ac:dyDescent="0.35">
      <c r="H1957" s="1"/>
    </row>
    <row r="1958" spans="8:8" x14ac:dyDescent="0.35">
      <c r="H1958" s="1"/>
    </row>
    <row r="1959" spans="8:8" x14ac:dyDescent="0.35">
      <c r="H1959" s="1"/>
    </row>
    <row r="1960" spans="8:8" x14ac:dyDescent="0.35">
      <c r="H1960" s="1"/>
    </row>
    <row r="1961" spans="8:8" x14ac:dyDescent="0.35">
      <c r="H1961" s="1"/>
    </row>
    <row r="1962" spans="8:8" x14ac:dyDescent="0.35">
      <c r="H1962" s="1"/>
    </row>
    <row r="1963" spans="8:8" x14ac:dyDescent="0.35">
      <c r="H1963" s="1"/>
    </row>
    <row r="1964" spans="8:8" x14ac:dyDescent="0.35">
      <c r="H1964" s="1"/>
    </row>
    <row r="1965" spans="8:8" x14ac:dyDescent="0.35">
      <c r="H1965" s="1"/>
    </row>
    <row r="1966" spans="8:8" x14ac:dyDescent="0.35">
      <c r="H1966" s="1"/>
    </row>
    <row r="1967" spans="8:8" x14ac:dyDescent="0.35">
      <c r="H1967" s="1"/>
    </row>
    <row r="1968" spans="8:8" x14ac:dyDescent="0.35">
      <c r="H1968" s="1"/>
    </row>
    <row r="1969" spans="8:8" x14ac:dyDescent="0.35">
      <c r="H1969" s="1"/>
    </row>
    <row r="1970" spans="8:8" x14ac:dyDescent="0.35">
      <c r="H1970" s="1"/>
    </row>
    <row r="1971" spans="8:8" x14ac:dyDescent="0.35">
      <c r="H1971" s="1"/>
    </row>
    <row r="1972" spans="8:8" x14ac:dyDescent="0.35">
      <c r="H1972" s="1"/>
    </row>
    <row r="1973" spans="8:8" x14ac:dyDescent="0.35">
      <c r="H1973" s="1"/>
    </row>
    <row r="1974" spans="8:8" x14ac:dyDescent="0.35">
      <c r="H1974" s="1"/>
    </row>
    <row r="1975" spans="8:8" x14ac:dyDescent="0.35">
      <c r="H1975" s="1"/>
    </row>
    <row r="1976" spans="8:8" x14ac:dyDescent="0.35">
      <c r="H1976" s="1"/>
    </row>
    <row r="1977" spans="8:8" x14ac:dyDescent="0.35">
      <c r="H1977" s="1"/>
    </row>
    <row r="1978" spans="8:8" x14ac:dyDescent="0.35">
      <c r="H1978" s="1"/>
    </row>
    <row r="1979" spans="8:8" x14ac:dyDescent="0.35">
      <c r="H1979" s="1"/>
    </row>
    <row r="1980" spans="8:8" x14ac:dyDescent="0.35">
      <c r="H1980" s="1"/>
    </row>
    <row r="1981" spans="8:8" x14ac:dyDescent="0.35">
      <c r="H1981" s="1"/>
    </row>
    <row r="1982" spans="8:8" x14ac:dyDescent="0.35">
      <c r="H1982" s="1"/>
    </row>
    <row r="1983" spans="8:8" x14ac:dyDescent="0.35">
      <c r="H1983" s="1"/>
    </row>
    <row r="1984" spans="8:8" x14ac:dyDescent="0.35">
      <c r="H1984" s="1"/>
    </row>
    <row r="1985" spans="8:8" x14ac:dyDescent="0.35">
      <c r="H1985" s="1"/>
    </row>
    <row r="1986" spans="8:8" x14ac:dyDescent="0.35">
      <c r="H1986" s="1"/>
    </row>
    <row r="1987" spans="8:8" x14ac:dyDescent="0.35">
      <c r="H1987" s="1"/>
    </row>
    <row r="1988" spans="8:8" x14ac:dyDescent="0.35">
      <c r="H1988" s="1"/>
    </row>
    <row r="1989" spans="8:8" x14ac:dyDescent="0.35">
      <c r="H1989" s="1"/>
    </row>
    <row r="1990" spans="8:8" x14ac:dyDescent="0.35">
      <c r="H1990" s="1"/>
    </row>
    <row r="1991" spans="8:8" x14ac:dyDescent="0.35">
      <c r="H1991" s="1"/>
    </row>
    <row r="1992" spans="8:8" x14ac:dyDescent="0.35">
      <c r="H1992" s="1"/>
    </row>
    <row r="1993" spans="8:8" x14ac:dyDescent="0.35">
      <c r="H1993" s="1"/>
    </row>
    <row r="1994" spans="8:8" x14ac:dyDescent="0.35">
      <c r="H1994" s="1"/>
    </row>
    <row r="1995" spans="8:8" x14ac:dyDescent="0.35">
      <c r="H1995" s="1"/>
    </row>
    <row r="1996" spans="8:8" x14ac:dyDescent="0.35">
      <c r="H1996" s="1"/>
    </row>
    <row r="1997" spans="8:8" x14ac:dyDescent="0.35">
      <c r="H1997" s="1"/>
    </row>
    <row r="1998" spans="8:8" x14ac:dyDescent="0.35">
      <c r="H1998" s="1"/>
    </row>
    <row r="1999" spans="8:8" x14ac:dyDescent="0.35">
      <c r="H1999" s="1"/>
    </row>
    <row r="2000" spans="8:8" x14ac:dyDescent="0.35">
      <c r="H2000" s="1"/>
    </row>
    <row r="2001" spans="8:8" x14ac:dyDescent="0.35">
      <c r="H2001" s="1"/>
    </row>
    <row r="2002" spans="8:8" x14ac:dyDescent="0.35">
      <c r="H2002" s="1"/>
    </row>
    <row r="2003" spans="8:8" x14ac:dyDescent="0.35">
      <c r="H2003" s="1"/>
    </row>
    <row r="2004" spans="8:8" x14ac:dyDescent="0.35">
      <c r="H2004" s="1"/>
    </row>
    <row r="2005" spans="8:8" x14ac:dyDescent="0.35">
      <c r="H2005" s="1"/>
    </row>
    <row r="2006" spans="8:8" x14ac:dyDescent="0.35">
      <c r="H2006" s="1"/>
    </row>
    <row r="2007" spans="8:8" x14ac:dyDescent="0.35">
      <c r="H2007" s="1"/>
    </row>
    <row r="2008" spans="8:8" x14ac:dyDescent="0.35">
      <c r="H2008" s="1"/>
    </row>
    <row r="2009" spans="8:8" x14ac:dyDescent="0.35">
      <c r="H2009" s="1"/>
    </row>
    <row r="2010" spans="8:8" x14ac:dyDescent="0.35">
      <c r="H2010" s="1"/>
    </row>
    <row r="2011" spans="8:8" x14ac:dyDescent="0.35">
      <c r="H2011" s="1"/>
    </row>
    <row r="2012" spans="8:8" x14ac:dyDescent="0.35">
      <c r="H2012" s="1"/>
    </row>
    <row r="2013" spans="8:8" x14ac:dyDescent="0.35">
      <c r="H2013" s="1"/>
    </row>
    <row r="2014" spans="8:8" x14ac:dyDescent="0.35">
      <c r="H2014" s="1"/>
    </row>
    <row r="2015" spans="8:8" x14ac:dyDescent="0.35">
      <c r="H2015" s="1"/>
    </row>
    <row r="2016" spans="8:8" x14ac:dyDescent="0.35">
      <c r="H2016" s="1"/>
    </row>
    <row r="2017" spans="8:8" x14ac:dyDescent="0.35">
      <c r="H2017" s="1"/>
    </row>
    <row r="2018" spans="8:8" x14ac:dyDescent="0.35">
      <c r="H2018" s="1"/>
    </row>
    <row r="2019" spans="8:8" x14ac:dyDescent="0.35">
      <c r="H2019" s="1"/>
    </row>
    <row r="2020" spans="8:8" x14ac:dyDescent="0.35">
      <c r="H2020" s="1"/>
    </row>
    <row r="2021" spans="8:8" x14ac:dyDescent="0.35">
      <c r="H2021" s="1"/>
    </row>
    <row r="2022" spans="8:8" x14ac:dyDescent="0.35">
      <c r="H2022" s="1"/>
    </row>
    <row r="2023" spans="8:8" x14ac:dyDescent="0.35">
      <c r="H2023" s="1"/>
    </row>
    <row r="2024" spans="8:8" x14ac:dyDescent="0.35">
      <c r="H2024" s="1"/>
    </row>
    <row r="2025" spans="8:8" x14ac:dyDescent="0.35">
      <c r="H2025" s="1"/>
    </row>
    <row r="2026" spans="8:8" x14ac:dyDescent="0.35">
      <c r="H2026" s="1"/>
    </row>
    <row r="2027" spans="8:8" x14ac:dyDescent="0.35">
      <c r="H2027" s="1"/>
    </row>
    <row r="2028" spans="8:8" x14ac:dyDescent="0.35">
      <c r="H2028" s="1"/>
    </row>
    <row r="2029" spans="8:8" x14ac:dyDescent="0.35">
      <c r="H2029" s="1"/>
    </row>
    <row r="2030" spans="8:8" x14ac:dyDescent="0.35">
      <c r="H2030" s="1"/>
    </row>
    <row r="2031" spans="8:8" x14ac:dyDescent="0.35">
      <c r="H2031" s="1"/>
    </row>
    <row r="2032" spans="8:8" x14ac:dyDescent="0.35">
      <c r="H2032" s="1"/>
    </row>
    <row r="2033" spans="8:8" x14ac:dyDescent="0.35">
      <c r="H2033" s="1"/>
    </row>
    <row r="2034" spans="8:8" x14ac:dyDescent="0.35">
      <c r="H2034" s="1"/>
    </row>
    <row r="2035" spans="8:8" x14ac:dyDescent="0.35">
      <c r="H2035" s="1"/>
    </row>
    <row r="2036" spans="8:8" x14ac:dyDescent="0.35">
      <c r="H2036" s="1"/>
    </row>
    <row r="2037" spans="8:8" x14ac:dyDescent="0.35">
      <c r="H2037" s="1"/>
    </row>
    <row r="2038" spans="8:8" x14ac:dyDescent="0.35">
      <c r="H2038" s="1"/>
    </row>
    <row r="2039" spans="8:8" x14ac:dyDescent="0.35">
      <c r="H2039" s="1"/>
    </row>
    <row r="2040" spans="8:8" x14ac:dyDescent="0.35">
      <c r="H2040" s="1"/>
    </row>
    <row r="2041" spans="8:8" x14ac:dyDescent="0.35">
      <c r="H2041" s="1"/>
    </row>
    <row r="2042" spans="8:8" x14ac:dyDescent="0.35">
      <c r="H2042" s="1"/>
    </row>
    <row r="2043" spans="8:8" x14ac:dyDescent="0.35">
      <c r="H2043" s="1"/>
    </row>
    <row r="2044" spans="8:8" x14ac:dyDescent="0.35">
      <c r="H2044" s="1"/>
    </row>
    <row r="2045" spans="8:8" x14ac:dyDescent="0.35">
      <c r="H2045" s="1"/>
    </row>
    <row r="2046" spans="8:8" x14ac:dyDescent="0.35">
      <c r="H2046" s="1"/>
    </row>
    <row r="2047" spans="8:8" x14ac:dyDescent="0.35">
      <c r="H2047" s="1"/>
    </row>
    <row r="2048" spans="8:8" x14ac:dyDescent="0.35">
      <c r="H2048" s="1"/>
    </row>
    <row r="2049" spans="8:8" x14ac:dyDescent="0.35">
      <c r="H2049" s="1"/>
    </row>
    <row r="2050" spans="8:8" x14ac:dyDescent="0.35">
      <c r="H2050" s="1"/>
    </row>
    <row r="2051" spans="8:8" x14ac:dyDescent="0.35">
      <c r="H2051" s="1"/>
    </row>
    <row r="2052" spans="8:8" x14ac:dyDescent="0.35">
      <c r="H2052" s="1"/>
    </row>
    <row r="2053" spans="8:8" x14ac:dyDescent="0.35">
      <c r="H2053" s="1"/>
    </row>
    <row r="2054" spans="8:8" x14ac:dyDescent="0.35">
      <c r="H2054" s="1"/>
    </row>
    <row r="2055" spans="8:8" x14ac:dyDescent="0.35">
      <c r="H2055" s="1"/>
    </row>
    <row r="2056" spans="8:8" x14ac:dyDescent="0.35">
      <c r="H2056" s="1"/>
    </row>
    <row r="2057" spans="8:8" x14ac:dyDescent="0.35">
      <c r="H2057" s="1"/>
    </row>
    <row r="2058" spans="8:8" x14ac:dyDescent="0.35">
      <c r="H2058" s="1"/>
    </row>
    <row r="2059" spans="8:8" x14ac:dyDescent="0.35">
      <c r="H2059" s="1"/>
    </row>
    <row r="2060" spans="8:8" x14ac:dyDescent="0.35">
      <c r="H2060" s="1"/>
    </row>
    <row r="2061" spans="8:8" x14ac:dyDescent="0.35">
      <c r="H2061" s="1"/>
    </row>
    <row r="2062" spans="8:8" x14ac:dyDescent="0.35">
      <c r="H2062" s="1"/>
    </row>
    <row r="2063" spans="8:8" x14ac:dyDescent="0.35">
      <c r="H2063" s="1"/>
    </row>
    <row r="2064" spans="8:8" x14ac:dyDescent="0.35">
      <c r="H2064" s="1"/>
    </row>
    <row r="2065" spans="8:8" x14ac:dyDescent="0.35">
      <c r="H2065" s="1"/>
    </row>
    <row r="2066" spans="8:8" x14ac:dyDescent="0.35">
      <c r="H2066" s="1"/>
    </row>
    <row r="2067" spans="8:8" x14ac:dyDescent="0.35">
      <c r="H2067" s="1"/>
    </row>
    <row r="2068" spans="8:8" x14ac:dyDescent="0.35">
      <c r="H2068" s="1"/>
    </row>
    <row r="2069" spans="8:8" x14ac:dyDescent="0.35">
      <c r="H2069" s="1"/>
    </row>
    <row r="2070" spans="8:8" x14ac:dyDescent="0.35">
      <c r="H2070" s="1"/>
    </row>
    <row r="2071" spans="8:8" x14ac:dyDescent="0.35">
      <c r="H2071" s="1"/>
    </row>
    <row r="2072" spans="8:8" x14ac:dyDescent="0.35">
      <c r="H2072" s="1"/>
    </row>
    <row r="2073" spans="8:8" x14ac:dyDescent="0.35">
      <c r="H2073" s="1"/>
    </row>
    <row r="2074" spans="8:8" x14ac:dyDescent="0.35">
      <c r="H2074" s="1"/>
    </row>
    <row r="2075" spans="8:8" x14ac:dyDescent="0.35">
      <c r="H2075" s="1"/>
    </row>
    <row r="2076" spans="8:8" x14ac:dyDescent="0.35">
      <c r="H2076" s="1"/>
    </row>
    <row r="2077" spans="8:8" x14ac:dyDescent="0.35">
      <c r="H2077" s="1"/>
    </row>
    <row r="2078" spans="8:8" x14ac:dyDescent="0.35">
      <c r="H2078" s="1"/>
    </row>
    <row r="2079" spans="8:8" x14ac:dyDescent="0.35">
      <c r="H2079" s="1"/>
    </row>
    <row r="2080" spans="8:8" x14ac:dyDescent="0.35">
      <c r="H2080" s="1"/>
    </row>
    <row r="2081" spans="8:8" x14ac:dyDescent="0.35">
      <c r="H2081" s="1"/>
    </row>
    <row r="2082" spans="8:8" x14ac:dyDescent="0.35">
      <c r="H2082" s="1"/>
    </row>
    <row r="2083" spans="8:8" x14ac:dyDescent="0.35">
      <c r="H2083" s="1"/>
    </row>
    <row r="2084" spans="8:8" x14ac:dyDescent="0.35">
      <c r="H2084" s="1"/>
    </row>
    <row r="2085" spans="8:8" x14ac:dyDescent="0.35">
      <c r="H2085" s="1"/>
    </row>
    <row r="2086" spans="8:8" x14ac:dyDescent="0.35">
      <c r="H2086" s="1"/>
    </row>
    <row r="2087" spans="8:8" x14ac:dyDescent="0.35">
      <c r="H2087" s="1"/>
    </row>
    <row r="2088" spans="8:8" x14ac:dyDescent="0.35">
      <c r="H2088" s="1"/>
    </row>
    <row r="2089" spans="8:8" x14ac:dyDescent="0.35">
      <c r="H2089" s="1"/>
    </row>
    <row r="2090" spans="8:8" x14ac:dyDescent="0.35">
      <c r="H2090" s="1"/>
    </row>
    <row r="2091" spans="8:8" x14ac:dyDescent="0.35">
      <c r="H2091" s="1"/>
    </row>
    <row r="2092" spans="8:8" x14ac:dyDescent="0.35">
      <c r="H2092" s="1"/>
    </row>
    <row r="2093" spans="8:8" x14ac:dyDescent="0.35">
      <c r="H2093" s="1"/>
    </row>
    <row r="2094" spans="8:8" x14ac:dyDescent="0.35">
      <c r="H2094" s="1"/>
    </row>
    <row r="2095" spans="8:8" x14ac:dyDescent="0.35">
      <c r="H2095" s="1"/>
    </row>
    <row r="2096" spans="8:8" x14ac:dyDescent="0.35">
      <c r="H2096" s="1"/>
    </row>
    <row r="2097" spans="8:8" x14ac:dyDescent="0.35">
      <c r="H2097" s="1"/>
    </row>
    <row r="2098" spans="8:8" x14ac:dyDescent="0.35">
      <c r="H2098" s="1"/>
    </row>
    <row r="2099" spans="8:8" x14ac:dyDescent="0.35">
      <c r="H2099" s="1"/>
    </row>
    <row r="2100" spans="8:8" x14ac:dyDescent="0.35">
      <c r="H2100" s="1"/>
    </row>
    <row r="2101" spans="8:8" x14ac:dyDescent="0.35">
      <c r="H2101" s="1"/>
    </row>
    <row r="2102" spans="8:8" x14ac:dyDescent="0.35">
      <c r="H2102" s="1"/>
    </row>
    <row r="2103" spans="8:8" x14ac:dyDescent="0.35">
      <c r="H2103" s="1"/>
    </row>
    <row r="2104" spans="8:8" x14ac:dyDescent="0.35">
      <c r="H2104" s="1"/>
    </row>
    <row r="2105" spans="8:8" x14ac:dyDescent="0.35">
      <c r="H2105" s="1"/>
    </row>
    <row r="2106" spans="8:8" x14ac:dyDescent="0.35">
      <c r="H2106" s="1"/>
    </row>
    <row r="2107" spans="8:8" x14ac:dyDescent="0.35">
      <c r="H2107" s="1"/>
    </row>
    <row r="2108" spans="8:8" x14ac:dyDescent="0.35">
      <c r="H2108" s="1"/>
    </row>
    <row r="2109" spans="8:8" x14ac:dyDescent="0.35">
      <c r="H2109" s="1"/>
    </row>
    <row r="2110" spans="8:8" x14ac:dyDescent="0.35">
      <c r="H2110" s="1"/>
    </row>
    <row r="2111" spans="8:8" x14ac:dyDescent="0.35">
      <c r="H2111" s="1"/>
    </row>
    <row r="2112" spans="8:8" x14ac:dyDescent="0.35">
      <c r="H2112" s="1"/>
    </row>
    <row r="2113" spans="8:8" x14ac:dyDescent="0.35">
      <c r="H2113" s="1"/>
    </row>
    <row r="2114" spans="8:8" x14ac:dyDescent="0.35">
      <c r="H2114" s="1"/>
    </row>
    <row r="2115" spans="8:8" x14ac:dyDescent="0.35">
      <c r="H2115" s="1"/>
    </row>
    <row r="2116" spans="8:8" x14ac:dyDescent="0.35">
      <c r="H2116" s="1"/>
    </row>
    <row r="2117" spans="8:8" x14ac:dyDescent="0.35">
      <c r="H2117" s="1"/>
    </row>
    <row r="2118" spans="8:8" x14ac:dyDescent="0.35">
      <c r="H2118" s="1"/>
    </row>
    <row r="2119" spans="8:8" x14ac:dyDescent="0.35">
      <c r="H2119" s="1"/>
    </row>
    <row r="2120" spans="8:8" x14ac:dyDescent="0.35">
      <c r="H2120" s="1"/>
    </row>
    <row r="2121" spans="8:8" x14ac:dyDescent="0.35">
      <c r="H2121" s="1"/>
    </row>
    <row r="2122" spans="8:8" x14ac:dyDescent="0.35">
      <c r="H2122" s="1"/>
    </row>
    <row r="2123" spans="8:8" x14ac:dyDescent="0.35">
      <c r="H2123" s="1"/>
    </row>
    <row r="2124" spans="8:8" x14ac:dyDescent="0.35">
      <c r="H2124" s="1"/>
    </row>
    <row r="2125" spans="8:8" x14ac:dyDescent="0.35">
      <c r="H2125" s="1"/>
    </row>
    <row r="2126" spans="8:8" x14ac:dyDescent="0.35">
      <c r="H2126" s="1"/>
    </row>
    <row r="2127" spans="8:8" x14ac:dyDescent="0.35">
      <c r="H2127" s="1"/>
    </row>
    <row r="2128" spans="8:8" x14ac:dyDescent="0.35">
      <c r="H2128" s="1"/>
    </row>
    <row r="2129" spans="8:8" x14ac:dyDescent="0.35">
      <c r="H2129" s="1"/>
    </row>
    <row r="2130" spans="8:8" x14ac:dyDescent="0.35">
      <c r="H2130" s="1"/>
    </row>
    <row r="2131" spans="8:8" x14ac:dyDescent="0.35">
      <c r="H2131" s="1"/>
    </row>
    <row r="2132" spans="8:8" x14ac:dyDescent="0.35">
      <c r="H2132" s="1"/>
    </row>
    <row r="2133" spans="8:8" x14ac:dyDescent="0.35">
      <c r="H2133" s="1"/>
    </row>
    <row r="2134" spans="8:8" x14ac:dyDescent="0.35">
      <c r="H2134" s="1"/>
    </row>
    <row r="2135" spans="8:8" x14ac:dyDescent="0.35">
      <c r="H2135" s="1"/>
    </row>
    <row r="2136" spans="8:8" x14ac:dyDescent="0.35">
      <c r="H2136" s="1"/>
    </row>
    <row r="2137" spans="8:8" x14ac:dyDescent="0.35">
      <c r="H2137" s="1"/>
    </row>
    <row r="2138" spans="8:8" x14ac:dyDescent="0.35">
      <c r="H2138" s="1"/>
    </row>
    <row r="2139" spans="8:8" x14ac:dyDescent="0.35">
      <c r="H2139" s="1"/>
    </row>
    <row r="2140" spans="8:8" x14ac:dyDescent="0.35">
      <c r="H2140" s="1"/>
    </row>
    <row r="2141" spans="8:8" x14ac:dyDescent="0.35">
      <c r="H2141" s="1"/>
    </row>
    <row r="2142" spans="8:8" x14ac:dyDescent="0.35">
      <c r="H2142" s="1"/>
    </row>
    <row r="2143" spans="8:8" x14ac:dyDescent="0.35">
      <c r="H2143" s="1"/>
    </row>
    <row r="2144" spans="8:8" x14ac:dyDescent="0.35">
      <c r="H2144" s="1"/>
    </row>
    <row r="2145" spans="8:8" x14ac:dyDescent="0.35">
      <c r="H2145" s="1"/>
    </row>
    <row r="2146" spans="8:8" x14ac:dyDescent="0.35">
      <c r="H2146" s="1"/>
    </row>
    <row r="2147" spans="8:8" x14ac:dyDescent="0.35">
      <c r="H2147" s="1"/>
    </row>
    <row r="2148" spans="8:8" x14ac:dyDescent="0.35">
      <c r="H2148" s="1"/>
    </row>
    <row r="2149" spans="8:8" x14ac:dyDescent="0.35">
      <c r="H2149" s="1"/>
    </row>
    <row r="2150" spans="8:8" x14ac:dyDescent="0.35">
      <c r="H2150" s="1"/>
    </row>
    <row r="2151" spans="8:8" x14ac:dyDescent="0.35">
      <c r="H2151" s="1"/>
    </row>
    <row r="2152" spans="8:8" x14ac:dyDescent="0.35">
      <c r="H2152" s="1"/>
    </row>
    <row r="2153" spans="8:8" x14ac:dyDescent="0.35">
      <c r="H2153" s="1"/>
    </row>
    <row r="2154" spans="8:8" x14ac:dyDescent="0.35">
      <c r="H2154" s="1"/>
    </row>
    <row r="2155" spans="8:8" x14ac:dyDescent="0.35">
      <c r="H2155" s="1"/>
    </row>
    <row r="2156" spans="8:8" x14ac:dyDescent="0.35">
      <c r="H2156" s="1"/>
    </row>
    <row r="2157" spans="8:8" x14ac:dyDescent="0.35">
      <c r="H2157" s="1"/>
    </row>
    <row r="2158" spans="8:8" x14ac:dyDescent="0.35">
      <c r="H2158" s="1"/>
    </row>
    <row r="2159" spans="8:8" x14ac:dyDescent="0.35">
      <c r="H2159" s="1"/>
    </row>
    <row r="2160" spans="8:8" x14ac:dyDescent="0.35">
      <c r="H2160" s="1"/>
    </row>
    <row r="2161" spans="8:8" x14ac:dyDescent="0.35">
      <c r="H2161" s="1"/>
    </row>
    <row r="2162" spans="8:8" x14ac:dyDescent="0.35">
      <c r="H2162" s="1"/>
    </row>
    <row r="2163" spans="8:8" x14ac:dyDescent="0.35">
      <c r="H2163" s="1"/>
    </row>
    <row r="2164" spans="8:8" x14ac:dyDescent="0.35">
      <c r="H2164" s="1"/>
    </row>
    <row r="2165" spans="8:8" x14ac:dyDescent="0.35">
      <c r="H2165" s="1"/>
    </row>
    <row r="2166" spans="8:8" x14ac:dyDescent="0.35">
      <c r="H2166" s="1"/>
    </row>
    <row r="2167" spans="8:8" x14ac:dyDescent="0.35">
      <c r="H2167" s="1"/>
    </row>
    <row r="2168" spans="8:8" x14ac:dyDescent="0.35">
      <c r="H2168" s="1"/>
    </row>
    <row r="2169" spans="8:8" x14ac:dyDescent="0.35">
      <c r="H2169" s="1"/>
    </row>
    <row r="2170" spans="8:8" x14ac:dyDescent="0.35">
      <c r="H2170" s="1"/>
    </row>
    <row r="2171" spans="8:8" x14ac:dyDescent="0.35">
      <c r="H2171" s="1"/>
    </row>
    <row r="2172" spans="8:8" x14ac:dyDescent="0.35">
      <c r="H2172" s="1"/>
    </row>
    <row r="2173" spans="8:8" x14ac:dyDescent="0.35">
      <c r="H2173" s="1"/>
    </row>
    <row r="2174" spans="8:8" x14ac:dyDescent="0.35">
      <c r="H2174" s="1"/>
    </row>
    <row r="2175" spans="8:8" x14ac:dyDescent="0.35">
      <c r="H2175" s="1"/>
    </row>
    <row r="2176" spans="8:8" x14ac:dyDescent="0.35">
      <c r="H2176" s="1"/>
    </row>
    <row r="2177" spans="8:8" x14ac:dyDescent="0.35">
      <c r="H2177" s="1"/>
    </row>
    <row r="2178" spans="8:8" x14ac:dyDescent="0.35">
      <c r="H2178" s="1"/>
    </row>
    <row r="2179" spans="8:8" x14ac:dyDescent="0.35">
      <c r="H2179" s="1"/>
    </row>
    <row r="2180" spans="8:8" x14ac:dyDescent="0.35">
      <c r="H2180" s="1"/>
    </row>
    <row r="2181" spans="8:8" x14ac:dyDescent="0.35">
      <c r="H2181" s="1"/>
    </row>
    <row r="2182" spans="8:8" x14ac:dyDescent="0.35">
      <c r="H2182" s="1"/>
    </row>
    <row r="2183" spans="8:8" x14ac:dyDescent="0.35">
      <c r="H2183" s="1"/>
    </row>
    <row r="2184" spans="8:8" x14ac:dyDescent="0.35">
      <c r="H2184" s="1"/>
    </row>
    <row r="2185" spans="8:8" x14ac:dyDescent="0.35">
      <c r="H2185" s="1"/>
    </row>
    <row r="2186" spans="8:8" x14ac:dyDescent="0.35">
      <c r="H2186" s="1"/>
    </row>
    <row r="2187" spans="8:8" x14ac:dyDescent="0.35">
      <c r="H2187" s="1"/>
    </row>
    <row r="2188" spans="8:8" x14ac:dyDescent="0.35">
      <c r="H2188" s="1"/>
    </row>
    <row r="2189" spans="8:8" x14ac:dyDescent="0.35">
      <c r="H2189" s="1"/>
    </row>
    <row r="2190" spans="8:8" x14ac:dyDescent="0.35">
      <c r="H2190" s="1"/>
    </row>
    <row r="2191" spans="8:8" x14ac:dyDescent="0.35">
      <c r="H2191" s="1"/>
    </row>
    <row r="2192" spans="8:8" x14ac:dyDescent="0.35">
      <c r="H2192" s="1"/>
    </row>
    <row r="2193" spans="8:8" x14ac:dyDescent="0.35">
      <c r="H2193" s="1"/>
    </row>
    <row r="2194" spans="8:8" x14ac:dyDescent="0.35">
      <c r="H2194" s="1"/>
    </row>
    <row r="2195" spans="8:8" x14ac:dyDescent="0.35">
      <c r="H2195" s="1"/>
    </row>
    <row r="2196" spans="8:8" x14ac:dyDescent="0.35">
      <c r="H2196" s="1"/>
    </row>
    <row r="2197" spans="8:8" x14ac:dyDescent="0.35">
      <c r="H2197" s="1"/>
    </row>
    <row r="2198" spans="8:8" x14ac:dyDescent="0.35">
      <c r="H2198" s="1"/>
    </row>
    <row r="2199" spans="8:8" x14ac:dyDescent="0.35">
      <c r="H2199" s="1"/>
    </row>
    <row r="2200" spans="8:8" x14ac:dyDescent="0.35">
      <c r="H2200" s="1"/>
    </row>
    <row r="2201" spans="8:8" x14ac:dyDescent="0.35">
      <c r="H2201" s="1"/>
    </row>
    <row r="2202" spans="8:8" x14ac:dyDescent="0.35">
      <c r="H2202" s="1"/>
    </row>
    <row r="2203" spans="8:8" x14ac:dyDescent="0.35">
      <c r="H2203" s="1"/>
    </row>
    <row r="2204" spans="8:8" x14ac:dyDescent="0.35">
      <c r="H2204" s="1"/>
    </row>
    <row r="2205" spans="8:8" x14ac:dyDescent="0.35">
      <c r="H2205" s="1"/>
    </row>
    <row r="2206" spans="8:8" x14ac:dyDescent="0.35">
      <c r="H2206" s="1"/>
    </row>
    <row r="2207" spans="8:8" x14ac:dyDescent="0.35">
      <c r="H2207" s="1"/>
    </row>
    <row r="2208" spans="8:8" x14ac:dyDescent="0.35">
      <c r="H2208" s="1"/>
    </row>
    <row r="2209" spans="8:8" x14ac:dyDescent="0.35">
      <c r="H2209" s="1"/>
    </row>
    <row r="2210" spans="8:8" x14ac:dyDescent="0.35">
      <c r="H2210" s="1"/>
    </row>
    <row r="2211" spans="8:8" x14ac:dyDescent="0.35">
      <c r="H2211" s="1"/>
    </row>
    <row r="2212" spans="8:8" x14ac:dyDescent="0.35">
      <c r="H2212" s="1"/>
    </row>
    <row r="2213" spans="8:8" x14ac:dyDescent="0.35">
      <c r="H2213" s="1"/>
    </row>
    <row r="2214" spans="8:8" x14ac:dyDescent="0.35">
      <c r="H2214" s="1"/>
    </row>
    <row r="2215" spans="8:8" x14ac:dyDescent="0.35">
      <c r="H2215" s="1"/>
    </row>
    <row r="2216" spans="8:8" x14ac:dyDescent="0.35">
      <c r="H2216" s="1"/>
    </row>
    <row r="2217" spans="8:8" x14ac:dyDescent="0.35">
      <c r="H2217" s="1"/>
    </row>
    <row r="2218" spans="8:8" x14ac:dyDescent="0.35">
      <c r="H2218" s="1"/>
    </row>
    <row r="2219" spans="8:8" x14ac:dyDescent="0.35">
      <c r="H2219" s="1"/>
    </row>
    <row r="2220" spans="8:8" x14ac:dyDescent="0.35">
      <c r="H2220" s="1"/>
    </row>
    <row r="2221" spans="8:8" x14ac:dyDescent="0.35">
      <c r="H2221" s="1"/>
    </row>
    <row r="2222" spans="8:8" x14ac:dyDescent="0.35">
      <c r="H2222" s="1"/>
    </row>
    <row r="2223" spans="8:8" x14ac:dyDescent="0.35">
      <c r="H2223" s="1"/>
    </row>
    <row r="2224" spans="8:8" x14ac:dyDescent="0.35">
      <c r="H2224" s="1"/>
    </row>
    <row r="2225" spans="8:8" x14ac:dyDescent="0.35">
      <c r="H2225" s="1"/>
    </row>
    <row r="2226" spans="8:8" x14ac:dyDescent="0.35">
      <c r="H2226" s="1"/>
    </row>
    <row r="2227" spans="8:8" x14ac:dyDescent="0.35">
      <c r="H2227" s="1"/>
    </row>
    <row r="2228" spans="8:8" x14ac:dyDescent="0.35">
      <c r="H2228" s="1"/>
    </row>
    <row r="2229" spans="8:8" x14ac:dyDescent="0.35">
      <c r="H2229" s="1"/>
    </row>
    <row r="2230" spans="8:8" x14ac:dyDescent="0.35">
      <c r="H2230" s="1"/>
    </row>
    <row r="2231" spans="8:8" x14ac:dyDescent="0.35">
      <c r="H2231" s="1"/>
    </row>
    <row r="2232" spans="8:8" x14ac:dyDescent="0.35">
      <c r="H2232" s="1"/>
    </row>
    <row r="2233" spans="8:8" x14ac:dyDescent="0.35">
      <c r="H2233" s="1"/>
    </row>
    <row r="2234" spans="8:8" x14ac:dyDescent="0.35">
      <c r="H2234" s="1"/>
    </row>
    <row r="2235" spans="8:8" x14ac:dyDescent="0.35">
      <c r="H2235" s="1"/>
    </row>
    <row r="2236" spans="8:8" x14ac:dyDescent="0.35">
      <c r="H2236" s="1"/>
    </row>
    <row r="2237" spans="8:8" x14ac:dyDescent="0.35">
      <c r="H2237" s="1"/>
    </row>
    <row r="2238" spans="8:8" x14ac:dyDescent="0.35">
      <c r="H2238" s="1"/>
    </row>
    <row r="2239" spans="8:8" x14ac:dyDescent="0.35">
      <c r="H2239" s="1"/>
    </row>
    <row r="2240" spans="8:8" x14ac:dyDescent="0.35">
      <c r="H2240" s="1"/>
    </row>
    <row r="2241" spans="8:8" x14ac:dyDescent="0.35">
      <c r="H2241" s="1"/>
    </row>
    <row r="2242" spans="8:8" x14ac:dyDescent="0.35">
      <c r="H2242" s="1"/>
    </row>
    <row r="2243" spans="8:8" x14ac:dyDescent="0.35">
      <c r="H2243" s="1"/>
    </row>
    <row r="2244" spans="8:8" x14ac:dyDescent="0.35">
      <c r="H2244" s="1"/>
    </row>
    <row r="2245" spans="8:8" x14ac:dyDescent="0.35">
      <c r="H2245" s="1"/>
    </row>
    <row r="2246" spans="8:8" x14ac:dyDescent="0.35">
      <c r="H2246" s="1"/>
    </row>
    <row r="2247" spans="8:8" x14ac:dyDescent="0.35">
      <c r="H2247" s="1"/>
    </row>
    <row r="2248" spans="8:8" x14ac:dyDescent="0.35">
      <c r="H2248" s="1"/>
    </row>
    <row r="2249" spans="8:8" x14ac:dyDescent="0.35">
      <c r="H2249" s="1"/>
    </row>
    <row r="2250" spans="8:8" x14ac:dyDescent="0.35">
      <c r="H2250" s="1"/>
    </row>
    <row r="2251" spans="8:8" x14ac:dyDescent="0.35">
      <c r="H2251" s="1"/>
    </row>
    <row r="2252" spans="8:8" x14ac:dyDescent="0.35">
      <c r="H2252" s="1"/>
    </row>
    <row r="2253" spans="8:8" x14ac:dyDescent="0.35">
      <c r="H2253" s="1"/>
    </row>
    <row r="2254" spans="8:8" x14ac:dyDescent="0.35">
      <c r="H2254" s="1"/>
    </row>
    <row r="2255" spans="8:8" x14ac:dyDescent="0.35">
      <c r="H2255" s="1"/>
    </row>
    <row r="2256" spans="8:8" x14ac:dyDescent="0.35">
      <c r="H2256" s="1"/>
    </row>
    <row r="2257" spans="8:8" x14ac:dyDescent="0.35">
      <c r="H2257" s="1"/>
    </row>
    <row r="2258" spans="8:8" x14ac:dyDescent="0.35">
      <c r="H2258" s="1"/>
    </row>
    <row r="2259" spans="8:8" x14ac:dyDescent="0.35">
      <c r="H2259" s="1"/>
    </row>
    <row r="2260" spans="8:8" x14ac:dyDescent="0.35">
      <c r="H2260" s="1"/>
    </row>
    <row r="2261" spans="8:8" x14ac:dyDescent="0.35">
      <c r="H2261" s="1"/>
    </row>
    <row r="2262" spans="8:8" x14ac:dyDescent="0.35">
      <c r="H2262" s="1"/>
    </row>
    <row r="2263" spans="8:8" x14ac:dyDescent="0.35">
      <c r="H2263" s="1"/>
    </row>
    <row r="2264" spans="8:8" x14ac:dyDescent="0.35">
      <c r="H2264" s="1"/>
    </row>
    <row r="2265" spans="8:8" x14ac:dyDescent="0.35">
      <c r="H2265" s="1"/>
    </row>
    <row r="2266" spans="8:8" x14ac:dyDescent="0.35">
      <c r="H2266" s="1"/>
    </row>
    <row r="2267" spans="8:8" x14ac:dyDescent="0.35">
      <c r="H2267" s="1"/>
    </row>
    <row r="2268" spans="8:8" x14ac:dyDescent="0.35">
      <c r="H2268" s="1"/>
    </row>
    <row r="2269" spans="8:8" x14ac:dyDescent="0.35">
      <c r="H2269" s="1"/>
    </row>
    <row r="2270" spans="8:8" x14ac:dyDescent="0.35">
      <c r="H2270" s="1"/>
    </row>
    <row r="2271" spans="8:8" x14ac:dyDescent="0.35">
      <c r="H2271" s="1"/>
    </row>
    <row r="2272" spans="8:8" x14ac:dyDescent="0.35">
      <c r="H2272" s="1"/>
    </row>
    <row r="2273" spans="8:8" x14ac:dyDescent="0.35">
      <c r="H2273" s="1"/>
    </row>
    <row r="2274" spans="8:8" x14ac:dyDescent="0.35">
      <c r="H2274" s="1"/>
    </row>
    <row r="2275" spans="8:8" x14ac:dyDescent="0.35">
      <c r="H2275" s="1"/>
    </row>
    <row r="2276" spans="8:8" x14ac:dyDescent="0.35">
      <c r="H2276" s="1"/>
    </row>
    <row r="2277" spans="8:8" x14ac:dyDescent="0.35">
      <c r="H2277" s="1"/>
    </row>
    <row r="2278" spans="8:8" x14ac:dyDescent="0.35">
      <c r="H2278" s="1"/>
    </row>
    <row r="2279" spans="8:8" x14ac:dyDescent="0.35">
      <c r="H2279" s="1"/>
    </row>
    <row r="2280" spans="8:8" x14ac:dyDescent="0.35">
      <c r="H2280" s="1"/>
    </row>
    <row r="2281" spans="8:8" x14ac:dyDescent="0.35">
      <c r="H2281" s="1"/>
    </row>
    <row r="2282" spans="8:8" x14ac:dyDescent="0.35">
      <c r="H2282" s="1"/>
    </row>
    <row r="2283" spans="8:8" x14ac:dyDescent="0.35">
      <c r="H2283" s="1"/>
    </row>
    <row r="2284" spans="8:8" x14ac:dyDescent="0.35">
      <c r="H2284" s="1"/>
    </row>
    <row r="2285" spans="8:8" x14ac:dyDescent="0.35">
      <c r="H2285" s="1"/>
    </row>
    <row r="2286" spans="8:8" x14ac:dyDescent="0.35">
      <c r="H2286" s="1"/>
    </row>
    <row r="2287" spans="8:8" x14ac:dyDescent="0.35">
      <c r="H2287" s="1"/>
    </row>
    <row r="2288" spans="8:8" x14ac:dyDescent="0.35">
      <c r="H2288" s="1"/>
    </row>
    <row r="2289" spans="8:8" x14ac:dyDescent="0.35">
      <c r="H2289" s="1"/>
    </row>
    <row r="2290" spans="8:8" x14ac:dyDescent="0.35">
      <c r="H2290" s="1"/>
    </row>
    <row r="2291" spans="8:8" x14ac:dyDescent="0.35">
      <c r="H2291" s="1"/>
    </row>
    <row r="2292" spans="8:8" x14ac:dyDescent="0.35">
      <c r="H2292" s="1"/>
    </row>
    <row r="2293" spans="8:8" x14ac:dyDescent="0.35">
      <c r="H2293" s="1"/>
    </row>
    <row r="2294" spans="8:8" x14ac:dyDescent="0.35">
      <c r="H2294" s="1"/>
    </row>
    <row r="2295" spans="8:8" x14ac:dyDescent="0.35">
      <c r="H2295" s="1"/>
    </row>
    <row r="2296" spans="8:8" x14ac:dyDescent="0.35">
      <c r="H2296" s="1"/>
    </row>
    <row r="2297" spans="8:8" x14ac:dyDescent="0.35">
      <c r="H2297" s="1"/>
    </row>
    <row r="2298" spans="8:8" x14ac:dyDescent="0.35">
      <c r="H2298" s="1"/>
    </row>
    <row r="2299" spans="8:8" x14ac:dyDescent="0.35">
      <c r="H2299" s="1"/>
    </row>
    <row r="2300" spans="8:8" x14ac:dyDescent="0.35">
      <c r="H2300" s="1"/>
    </row>
    <row r="2301" spans="8:8" x14ac:dyDescent="0.35">
      <c r="H2301" s="1"/>
    </row>
    <row r="2302" spans="8:8" x14ac:dyDescent="0.35">
      <c r="H2302" s="1"/>
    </row>
    <row r="2303" spans="8:8" x14ac:dyDescent="0.35">
      <c r="H2303" s="1"/>
    </row>
    <row r="2304" spans="8:8" x14ac:dyDescent="0.35">
      <c r="H2304" s="1"/>
    </row>
    <row r="2305" spans="8:8" x14ac:dyDescent="0.35">
      <c r="H2305" s="1"/>
    </row>
    <row r="2306" spans="8:8" x14ac:dyDescent="0.35">
      <c r="H2306" s="1"/>
    </row>
    <row r="2307" spans="8:8" x14ac:dyDescent="0.35">
      <c r="H2307" s="1"/>
    </row>
    <row r="2308" spans="8:8" x14ac:dyDescent="0.35">
      <c r="H2308" s="1"/>
    </row>
    <row r="2309" spans="8:8" x14ac:dyDescent="0.35">
      <c r="H2309" s="1"/>
    </row>
    <row r="2310" spans="8:8" x14ac:dyDescent="0.35">
      <c r="H2310" s="1"/>
    </row>
    <row r="2311" spans="8:8" x14ac:dyDescent="0.35">
      <c r="H2311" s="1"/>
    </row>
    <row r="2312" spans="8:8" x14ac:dyDescent="0.35">
      <c r="H2312" s="1"/>
    </row>
    <row r="2313" spans="8:8" x14ac:dyDescent="0.35">
      <c r="H2313" s="1"/>
    </row>
    <row r="2314" spans="8:8" x14ac:dyDescent="0.35">
      <c r="H2314" s="1"/>
    </row>
    <row r="2315" spans="8:8" x14ac:dyDescent="0.35">
      <c r="H2315" s="1"/>
    </row>
    <row r="2316" spans="8:8" x14ac:dyDescent="0.35">
      <c r="H2316" s="1"/>
    </row>
    <row r="2317" spans="8:8" x14ac:dyDescent="0.35">
      <c r="H2317" s="1"/>
    </row>
    <row r="2318" spans="8:8" x14ac:dyDescent="0.35">
      <c r="H2318" s="1"/>
    </row>
    <row r="2319" spans="8:8" x14ac:dyDescent="0.35">
      <c r="H2319" s="1"/>
    </row>
    <row r="2320" spans="8:8" x14ac:dyDescent="0.35">
      <c r="H2320" s="1"/>
    </row>
    <row r="2321" spans="8:8" x14ac:dyDescent="0.35">
      <c r="H2321" s="1"/>
    </row>
    <row r="2322" spans="8:8" x14ac:dyDescent="0.35">
      <c r="H2322" s="1"/>
    </row>
    <row r="2323" spans="8:8" x14ac:dyDescent="0.35">
      <c r="H2323" s="1"/>
    </row>
    <row r="2324" spans="8:8" x14ac:dyDescent="0.35">
      <c r="H2324" s="1"/>
    </row>
    <row r="2325" spans="8:8" x14ac:dyDescent="0.35">
      <c r="H2325" s="1"/>
    </row>
    <row r="2326" spans="8:8" x14ac:dyDescent="0.35">
      <c r="H2326" s="1"/>
    </row>
    <row r="2327" spans="8:8" x14ac:dyDescent="0.35">
      <c r="H2327" s="1"/>
    </row>
    <row r="2328" spans="8:8" x14ac:dyDescent="0.35">
      <c r="H2328" s="1"/>
    </row>
    <row r="2329" spans="8:8" x14ac:dyDescent="0.35">
      <c r="H2329" s="1"/>
    </row>
    <row r="2330" spans="8:8" x14ac:dyDescent="0.35">
      <c r="H2330" s="1"/>
    </row>
    <row r="2331" spans="8:8" x14ac:dyDescent="0.35">
      <c r="H2331" s="1"/>
    </row>
    <row r="2332" spans="8:8" x14ac:dyDescent="0.35">
      <c r="H2332" s="1"/>
    </row>
    <row r="2333" spans="8:8" x14ac:dyDescent="0.35">
      <c r="H2333" s="1"/>
    </row>
    <row r="2334" spans="8:8" x14ac:dyDescent="0.35">
      <c r="H2334" s="1"/>
    </row>
    <row r="2335" spans="8:8" x14ac:dyDescent="0.35">
      <c r="H2335" s="1"/>
    </row>
    <row r="2336" spans="8:8" x14ac:dyDescent="0.35">
      <c r="H2336" s="1"/>
    </row>
    <row r="2337" spans="8:8" x14ac:dyDescent="0.35">
      <c r="H2337" s="1"/>
    </row>
    <row r="2338" spans="8:8" x14ac:dyDescent="0.35">
      <c r="H2338" s="1"/>
    </row>
    <row r="2339" spans="8:8" x14ac:dyDescent="0.35">
      <c r="H2339" s="1"/>
    </row>
    <row r="2340" spans="8:8" x14ac:dyDescent="0.35">
      <c r="H2340" s="1"/>
    </row>
    <row r="2341" spans="8:8" x14ac:dyDescent="0.35">
      <c r="H2341" s="1"/>
    </row>
    <row r="2342" spans="8:8" x14ac:dyDescent="0.35">
      <c r="H2342" s="1"/>
    </row>
    <row r="2343" spans="8:8" x14ac:dyDescent="0.35">
      <c r="H2343" s="1"/>
    </row>
    <row r="2344" spans="8:8" x14ac:dyDescent="0.35">
      <c r="H2344" s="1"/>
    </row>
    <row r="2345" spans="8:8" x14ac:dyDescent="0.35">
      <c r="H2345" s="1"/>
    </row>
    <row r="2346" spans="8:8" x14ac:dyDescent="0.35">
      <c r="H2346" s="1"/>
    </row>
    <row r="2347" spans="8:8" x14ac:dyDescent="0.35">
      <c r="H2347" s="1"/>
    </row>
    <row r="2348" spans="8:8" x14ac:dyDescent="0.35">
      <c r="H2348" s="1"/>
    </row>
    <row r="2349" spans="8:8" x14ac:dyDescent="0.35">
      <c r="H2349" s="1"/>
    </row>
    <row r="2350" spans="8:8" x14ac:dyDescent="0.35">
      <c r="H2350" s="1"/>
    </row>
    <row r="2351" spans="8:8" x14ac:dyDescent="0.35">
      <c r="H2351" s="1"/>
    </row>
    <row r="2352" spans="8:8" x14ac:dyDescent="0.35">
      <c r="H2352" s="1"/>
    </row>
    <row r="2353" spans="8:8" x14ac:dyDescent="0.35">
      <c r="H2353" s="1"/>
    </row>
    <row r="2354" spans="8:8" x14ac:dyDescent="0.35">
      <c r="H2354" s="1"/>
    </row>
    <row r="2355" spans="8:8" x14ac:dyDescent="0.35">
      <c r="H2355" s="1"/>
    </row>
    <row r="2356" spans="8:8" x14ac:dyDescent="0.35">
      <c r="H2356" s="1"/>
    </row>
    <row r="2357" spans="8:8" x14ac:dyDescent="0.35">
      <c r="H2357" s="1"/>
    </row>
    <row r="2358" spans="8:8" x14ac:dyDescent="0.35">
      <c r="H2358" s="1"/>
    </row>
    <row r="2359" spans="8:8" x14ac:dyDescent="0.35">
      <c r="H2359" s="1"/>
    </row>
    <row r="2360" spans="8:8" x14ac:dyDescent="0.35">
      <c r="H2360" s="1"/>
    </row>
    <row r="2361" spans="8:8" x14ac:dyDescent="0.35">
      <c r="H2361" s="1"/>
    </row>
    <row r="2362" spans="8:8" x14ac:dyDescent="0.35">
      <c r="H2362" s="1"/>
    </row>
    <row r="2363" spans="8:8" x14ac:dyDescent="0.35">
      <c r="H2363" s="1"/>
    </row>
    <row r="2364" spans="8:8" x14ac:dyDescent="0.35">
      <c r="H2364" s="1"/>
    </row>
    <row r="2365" spans="8:8" x14ac:dyDescent="0.35">
      <c r="H2365" s="1"/>
    </row>
    <row r="2366" spans="8:8" x14ac:dyDescent="0.35">
      <c r="H2366" s="1"/>
    </row>
    <row r="2367" spans="8:8" x14ac:dyDescent="0.35">
      <c r="H2367" s="1"/>
    </row>
    <row r="2368" spans="8:8" x14ac:dyDescent="0.35">
      <c r="H2368" s="1"/>
    </row>
    <row r="2369" spans="8:8" x14ac:dyDescent="0.35">
      <c r="H2369" s="1"/>
    </row>
    <row r="2370" spans="8:8" x14ac:dyDescent="0.35">
      <c r="H2370" s="1"/>
    </row>
    <row r="2371" spans="8:8" x14ac:dyDescent="0.35">
      <c r="H2371" s="1"/>
    </row>
    <row r="2372" spans="8:8" x14ac:dyDescent="0.35">
      <c r="H2372" s="1"/>
    </row>
    <row r="2373" spans="8:8" x14ac:dyDescent="0.35">
      <c r="H2373" s="1"/>
    </row>
    <row r="2374" spans="8:8" x14ac:dyDescent="0.35">
      <c r="H2374" s="1"/>
    </row>
    <row r="2375" spans="8:8" x14ac:dyDescent="0.35">
      <c r="H2375" s="1"/>
    </row>
    <row r="2376" spans="8:8" x14ac:dyDescent="0.35">
      <c r="H2376" s="1"/>
    </row>
    <row r="2377" spans="8:8" x14ac:dyDescent="0.35">
      <c r="H2377" s="1"/>
    </row>
    <row r="2378" spans="8:8" x14ac:dyDescent="0.35">
      <c r="H2378" s="1"/>
    </row>
    <row r="2379" spans="8:8" x14ac:dyDescent="0.35">
      <c r="H2379" s="1"/>
    </row>
    <row r="2380" spans="8:8" x14ac:dyDescent="0.35">
      <c r="H2380" s="1"/>
    </row>
    <row r="2381" spans="8:8" x14ac:dyDescent="0.35">
      <c r="H2381" s="1"/>
    </row>
    <row r="2382" spans="8:8" x14ac:dyDescent="0.35">
      <c r="H2382" s="1"/>
    </row>
    <row r="2383" spans="8:8" x14ac:dyDescent="0.35">
      <c r="H2383" s="1"/>
    </row>
    <row r="2384" spans="8:8" x14ac:dyDescent="0.35">
      <c r="H2384" s="1"/>
    </row>
    <row r="2385" spans="8:8" x14ac:dyDescent="0.35">
      <c r="H2385" s="1"/>
    </row>
    <row r="2386" spans="8:8" x14ac:dyDescent="0.35">
      <c r="H2386" s="1"/>
    </row>
    <row r="2387" spans="8:8" x14ac:dyDescent="0.35">
      <c r="H2387" s="1"/>
    </row>
    <row r="2388" spans="8:8" x14ac:dyDescent="0.35">
      <c r="H2388" s="1"/>
    </row>
    <row r="2389" spans="8:8" x14ac:dyDescent="0.35">
      <c r="H2389" s="1"/>
    </row>
    <row r="2390" spans="8:8" x14ac:dyDescent="0.35">
      <c r="H2390" s="1"/>
    </row>
    <row r="2391" spans="8:8" x14ac:dyDescent="0.35">
      <c r="H2391" s="1"/>
    </row>
    <row r="2392" spans="8:8" x14ac:dyDescent="0.35">
      <c r="H2392" s="1"/>
    </row>
    <row r="2393" spans="8:8" x14ac:dyDescent="0.35">
      <c r="H2393" s="1"/>
    </row>
    <row r="2394" spans="8:8" x14ac:dyDescent="0.35">
      <c r="H2394" s="1"/>
    </row>
    <row r="2395" spans="8:8" x14ac:dyDescent="0.35">
      <c r="H2395" s="1"/>
    </row>
    <row r="2396" spans="8:8" x14ac:dyDescent="0.35">
      <c r="H2396" s="1"/>
    </row>
    <row r="2397" spans="8:8" x14ac:dyDescent="0.35">
      <c r="H2397" s="1"/>
    </row>
    <row r="2398" spans="8:8" x14ac:dyDescent="0.35">
      <c r="H2398" s="1"/>
    </row>
    <row r="2399" spans="8:8" x14ac:dyDescent="0.35">
      <c r="H2399" s="1"/>
    </row>
    <row r="2400" spans="8:8" x14ac:dyDescent="0.35">
      <c r="H2400" s="1"/>
    </row>
    <row r="2401" spans="8:8" x14ac:dyDescent="0.35">
      <c r="H2401" s="1"/>
    </row>
    <row r="2402" spans="8:8" x14ac:dyDescent="0.35">
      <c r="H2402" s="1"/>
    </row>
    <row r="2403" spans="8:8" x14ac:dyDescent="0.35">
      <c r="H2403" s="1"/>
    </row>
    <row r="2404" spans="8:8" x14ac:dyDescent="0.35">
      <c r="H2404" s="1"/>
    </row>
    <row r="2405" spans="8:8" x14ac:dyDescent="0.35">
      <c r="H2405" s="1"/>
    </row>
    <row r="2406" spans="8:8" x14ac:dyDescent="0.35">
      <c r="H2406" s="1"/>
    </row>
    <row r="2407" spans="8:8" x14ac:dyDescent="0.35">
      <c r="H2407" s="1"/>
    </row>
    <row r="2408" spans="8:8" x14ac:dyDescent="0.35">
      <c r="H2408" s="1"/>
    </row>
    <row r="2409" spans="8:8" x14ac:dyDescent="0.35">
      <c r="H2409" s="1"/>
    </row>
    <row r="2410" spans="8:8" x14ac:dyDescent="0.35">
      <c r="H2410" s="1"/>
    </row>
    <row r="2411" spans="8:8" x14ac:dyDescent="0.35">
      <c r="H2411" s="1"/>
    </row>
    <row r="2412" spans="8:8" x14ac:dyDescent="0.35">
      <c r="H2412" s="1"/>
    </row>
    <row r="2413" spans="8:8" x14ac:dyDescent="0.35">
      <c r="H2413" s="1"/>
    </row>
    <row r="2414" spans="8:8" x14ac:dyDescent="0.35">
      <c r="H2414" s="1"/>
    </row>
    <row r="2415" spans="8:8" x14ac:dyDescent="0.35">
      <c r="H2415" s="1"/>
    </row>
    <row r="2416" spans="8:8" x14ac:dyDescent="0.35">
      <c r="H2416" s="1"/>
    </row>
    <row r="2417" spans="8:8" x14ac:dyDescent="0.35">
      <c r="H2417" s="1"/>
    </row>
    <row r="2418" spans="8:8" x14ac:dyDescent="0.35">
      <c r="H2418" s="1"/>
    </row>
    <row r="2419" spans="8:8" x14ac:dyDescent="0.35">
      <c r="H2419" s="1"/>
    </row>
    <row r="2420" spans="8:8" x14ac:dyDescent="0.35">
      <c r="H2420" s="1"/>
    </row>
    <row r="2421" spans="8:8" x14ac:dyDescent="0.35">
      <c r="H2421" s="1"/>
    </row>
    <row r="2422" spans="8:8" x14ac:dyDescent="0.35">
      <c r="H2422" s="1"/>
    </row>
    <row r="2423" spans="8:8" x14ac:dyDescent="0.35">
      <c r="H2423" s="1"/>
    </row>
    <row r="2424" spans="8:8" x14ac:dyDescent="0.35">
      <c r="H2424" s="1"/>
    </row>
    <row r="2425" spans="8:8" x14ac:dyDescent="0.35">
      <c r="H2425" s="1"/>
    </row>
    <row r="2426" spans="8:8" x14ac:dyDescent="0.35">
      <c r="H2426" s="1"/>
    </row>
    <row r="2427" spans="8:8" x14ac:dyDescent="0.35">
      <c r="H2427" s="1"/>
    </row>
    <row r="2428" spans="8:8" x14ac:dyDescent="0.35">
      <c r="H2428" s="1"/>
    </row>
    <row r="2429" spans="8:8" x14ac:dyDescent="0.35">
      <c r="H2429" s="1"/>
    </row>
    <row r="2430" spans="8:8" x14ac:dyDescent="0.35">
      <c r="H2430" s="1"/>
    </row>
    <row r="2431" spans="8:8" x14ac:dyDescent="0.35">
      <c r="H2431" s="1"/>
    </row>
    <row r="2432" spans="8:8" x14ac:dyDescent="0.35">
      <c r="H2432" s="1"/>
    </row>
    <row r="2433" spans="8:8" x14ac:dyDescent="0.35">
      <c r="H2433" s="1"/>
    </row>
    <row r="2434" spans="8:8" x14ac:dyDescent="0.35">
      <c r="H2434" s="1"/>
    </row>
    <row r="2435" spans="8:8" x14ac:dyDescent="0.35">
      <c r="H2435" s="1"/>
    </row>
    <row r="2436" spans="8:8" x14ac:dyDescent="0.35">
      <c r="H2436" s="1"/>
    </row>
    <row r="2437" spans="8:8" x14ac:dyDescent="0.35">
      <c r="H2437" s="1"/>
    </row>
    <row r="2438" spans="8:8" x14ac:dyDescent="0.35">
      <c r="H2438" s="1"/>
    </row>
    <row r="2439" spans="8:8" x14ac:dyDescent="0.35">
      <c r="H2439" s="1"/>
    </row>
    <row r="2440" spans="8:8" x14ac:dyDescent="0.35">
      <c r="H2440" s="1"/>
    </row>
    <row r="2441" spans="8:8" x14ac:dyDescent="0.35">
      <c r="H2441" s="1"/>
    </row>
    <row r="2442" spans="8:8" x14ac:dyDescent="0.35">
      <c r="H2442" s="1"/>
    </row>
    <row r="2443" spans="8:8" x14ac:dyDescent="0.35">
      <c r="H2443" s="1"/>
    </row>
    <row r="2444" spans="8:8" x14ac:dyDescent="0.35">
      <c r="H2444" s="1"/>
    </row>
    <row r="2445" spans="8:8" x14ac:dyDescent="0.35">
      <c r="H2445" s="1"/>
    </row>
    <row r="2446" spans="8:8" x14ac:dyDescent="0.35">
      <c r="H2446" s="1"/>
    </row>
    <row r="2447" spans="8:8" x14ac:dyDescent="0.35">
      <c r="H2447" s="1"/>
    </row>
    <row r="2448" spans="8:8" x14ac:dyDescent="0.35">
      <c r="H2448" s="1"/>
    </row>
    <row r="2449" spans="8:8" x14ac:dyDescent="0.35">
      <c r="H2449" s="1"/>
    </row>
    <row r="2450" spans="8:8" x14ac:dyDescent="0.35">
      <c r="H2450" s="1"/>
    </row>
    <row r="2451" spans="8:8" x14ac:dyDescent="0.35">
      <c r="H2451" s="1"/>
    </row>
    <row r="2452" spans="8:8" x14ac:dyDescent="0.35">
      <c r="H2452" s="1"/>
    </row>
    <row r="2453" spans="8:8" x14ac:dyDescent="0.35">
      <c r="H2453" s="1"/>
    </row>
    <row r="2454" spans="8:8" x14ac:dyDescent="0.35">
      <c r="H2454" s="1"/>
    </row>
    <row r="2455" spans="8:8" x14ac:dyDescent="0.35">
      <c r="H2455" s="1"/>
    </row>
    <row r="2456" spans="8:8" x14ac:dyDescent="0.35">
      <c r="H2456" s="1"/>
    </row>
    <row r="2457" spans="8:8" x14ac:dyDescent="0.35">
      <c r="H2457" s="1"/>
    </row>
    <row r="2458" spans="8:8" x14ac:dyDescent="0.35">
      <c r="H2458" s="1"/>
    </row>
    <row r="2459" spans="8:8" x14ac:dyDescent="0.35">
      <c r="H2459" s="1"/>
    </row>
    <row r="2460" spans="8:8" x14ac:dyDescent="0.35">
      <c r="H2460" s="1"/>
    </row>
    <row r="2461" spans="8:8" x14ac:dyDescent="0.35">
      <c r="H2461" s="1"/>
    </row>
    <row r="2462" spans="8:8" x14ac:dyDescent="0.35">
      <c r="H2462" s="1"/>
    </row>
    <row r="2463" spans="8:8" x14ac:dyDescent="0.35">
      <c r="H2463" s="1"/>
    </row>
    <row r="2464" spans="8:8" x14ac:dyDescent="0.35">
      <c r="H2464" s="1"/>
    </row>
    <row r="2465" spans="8:8" x14ac:dyDescent="0.35">
      <c r="H2465" s="1"/>
    </row>
    <row r="2466" spans="8:8" x14ac:dyDescent="0.35">
      <c r="H2466" s="1"/>
    </row>
    <row r="2467" spans="8:8" x14ac:dyDescent="0.35">
      <c r="H2467" s="1"/>
    </row>
    <row r="2468" spans="8:8" x14ac:dyDescent="0.35">
      <c r="H2468" s="1"/>
    </row>
    <row r="2469" spans="8:8" x14ac:dyDescent="0.35">
      <c r="H2469" s="1"/>
    </row>
    <row r="2470" spans="8:8" x14ac:dyDescent="0.35">
      <c r="H2470" s="1"/>
    </row>
    <row r="2471" spans="8:8" x14ac:dyDescent="0.35">
      <c r="H2471" s="1"/>
    </row>
    <row r="2472" spans="8:8" x14ac:dyDescent="0.35">
      <c r="H2472" s="1"/>
    </row>
    <row r="2473" spans="8:8" x14ac:dyDescent="0.35">
      <c r="H2473" s="1"/>
    </row>
    <row r="2474" spans="8:8" x14ac:dyDescent="0.35">
      <c r="H2474" s="1"/>
    </row>
    <row r="2475" spans="8:8" x14ac:dyDescent="0.35">
      <c r="H2475" s="1"/>
    </row>
    <row r="2476" spans="8:8" x14ac:dyDescent="0.35">
      <c r="H2476" s="1"/>
    </row>
    <row r="2477" spans="8:8" x14ac:dyDescent="0.35">
      <c r="H2477" s="1"/>
    </row>
    <row r="2478" spans="8:8" x14ac:dyDescent="0.35">
      <c r="H2478" s="1"/>
    </row>
    <row r="2479" spans="8:8" x14ac:dyDescent="0.35">
      <c r="H2479" s="1"/>
    </row>
    <row r="2480" spans="8:8" x14ac:dyDescent="0.35">
      <c r="H2480" s="1"/>
    </row>
    <row r="2481" spans="8:8" x14ac:dyDescent="0.35">
      <c r="H2481" s="1"/>
    </row>
    <row r="2482" spans="8:8" x14ac:dyDescent="0.35">
      <c r="H2482" s="1"/>
    </row>
    <row r="2483" spans="8:8" x14ac:dyDescent="0.35">
      <c r="H2483" s="1"/>
    </row>
    <row r="2484" spans="8:8" x14ac:dyDescent="0.35">
      <c r="H2484" s="1"/>
    </row>
    <row r="2485" spans="8:8" x14ac:dyDescent="0.35">
      <c r="H2485" s="1"/>
    </row>
    <row r="2486" spans="8:8" x14ac:dyDescent="0.35">
      <c r="H2486" s="1"/>
    </row>
    <row r="2487" spans="8:8" x14ac:dyDescent="0.35">
      <c r="H2487" s="1"/>
    </row>
    <row r="2488" spans="8:8" x14ac:dyDescent="0.35">
      <c r="H2488" s="1"/>
    </row>
    <row r="2489" spans="8:8" x14ac:dyDescent="0.35">
      <c r="H2489" s="1"/>
    </row>
    <row r="2490" spans="8:8" x14ac:dyDescent="0.35">
      <c r="H2490" s="1"/>
    </row>
    <row r="2491" spans="8:8" x14ac:dyDescent="0.35">
      <c r="H2491" s="1"/>
    </row>
    <row r="2492" spans="8:8" x14ac:dyDescent="0.35">
      <c r="H2492" s="1"/>
    </row>
    <row r="2493" spans="8:8" x14ac:dyDescent="0.35">
      <c r="H2493" s="1"/>
    </row>
    <row r="2494" spans="8:8" x14ac:dyDescent="0.35">
      <c r="H2494" s="1"/>
    </row>
    <row r="2495" spans="8:8" x14ac:dyDescent="0.35">
      <c r="H2495" s="1"/>
    </row>
    <row r="2496" spans="8:8" x14ac:dyDescent="0.35">
      <c r="H2496" s="1"/>
    </row>
    <row r="2497" spans="8:8" x14ac:dyDescent="0.35">
      <c r="H2497" s="1"/>
    </row>
    <row r="2498" spans="8:8" x14ac:dyDescent="0.35">
      <c r="H2498" s="1"/>
    </row>
    <row r="2499" spans="8:8" x14ac:dyDescent="0.35">
      <c r="H2499" s="1"/>
    </row>
    <row r="2500" spans="8:8" x14ac:dyDescent="0.35">
      <c r="H2500" s="1"/>
    </row>
    <row r="2501" spans="8:8" x14ac:dyDescent="0.35">
      <c r="H2501" s="1"/>
    </row>
    <row r="2502" spans="8:8" x14ac:dyDescent="0.35">
      <c r="H2502" s="1"/>
    </row>
    <row r="2503" spans="8:8" x14ac:dyDescent="0.35">
      <c r="H2503" s="1"/>
    </row>
    <row r="2504" spans="8:8" x14ac:dyDescent="0.35">
      <c r="H2504" s="1"/>
    </row>
    <row r="2505" spans="8:8" x14ac:dyDescent="0.35">
      <c r="H2505" s="1"/>
    </row>
    <row r="2506" spans="8:8" x14ac:dyDescent="0.35">
      <c r="H2506" s="1"/>
    </row>
    <row r="2507" spans="8:8" x14ac:dyDescent="0.35">
      <c r="H2507" s="1"/>
    </row>
    <row r="2508" spans="8:8" x14ac:dyDescent="0.35">
      <c r="H2508" s="1"/>
    </row>
    <row r="2509" spans="8:8" x14ac:dyDescent="0.35">
      <c r="H2509" s="1"/>
    </row>
    <row r="2510" spans="8:8" x14ac:dyDescent="0.35">
      <c r="H2510" s="1"/>
    </row>
    <row r="2511" spans="8:8" x14ac:dyDescent="0.35">
      <c r="H2511" s="1"/>
    </row>
    <row r="2512" spans="8:8" x14ac:dyDescent="0.35">
      <c r="H2512" s="1"/>
    </row>
    <row r="2513" spans="8:8" x14ac:dyDescent="0.35">
      <c r="H2513" s="1"/>
    </row>
    <row r="2514" spans="8:8" x14ac:dyDescent="0.35">
      <c r="H2514" s="1"/>
    </row>
  </sheetData>
  <dataConsolidate/>
  <phoneticPr fontId="3" type="noConversion"/>
  <dataValidations count="2">
    <dataValidation type="list" allowBlank="1" showInputMessage="1" showErrorMessage="1" sqref="K99:K1048576" xr:uid="{00000000-0002-0000-0000-000000000000}">
      <formula1>$C$3:$C$332</formula1>
    </dataValidation>
    <dataValidation type="list" allowBlank="1" showInputMessage="1" showErrorMessage="1" sqref="O99:O1048576 P25:P1048576" xr:uid="{00000000-0002-0000-0000-000002000000}">
      <formula1>#REF!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7EED26-6B7F-40C1-85FE-95D78CA4DC13}">
          <x14:formula1>
            <xm:f>Sheet1!$B$1:$B$10</xm:f>
          </x14:formula1>
          <xm:sqref>D3:D27</xm:sqref>
        </x14:dataValidation>
        <x14:dataValidation type="list" allowBlank="1" showInputMessage="1" showErrorMessage="1" xr:uid="{2BAA4E30-ACBF-4D8F-B285-6170B67772E9}">
          <x14:formula1>
            <xm:f>Sheet1!$C$1:$C$6</xm:f>
          </x14:formula1>
          <xm:sqref>F3:F31</xm:sqref>
        </x14:dataValidation>
        <x14:dataValidation type="list" allowBlank="1" showInputMessage="1" showErrorMessage="1" xr:uid="{3C276CDA-2B1E-4D68-B922-61F8191535BC}">
          <x14:formula1>
            <xm:f>Sheet1!$D$1:$D$11</xm:f>
          </x14:formula1>
          <xm:sqref>G3:G31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C31FD-D5E8-4EF9-8DC6-6D21E9550CFE}">
  <dimension ref="A1:Q109"/>
  <sheetViews>
    <sheetView zoomScale="90" zoomScaleNormal="90" workbookViewId="0">
      <selection activeCell="N14" sqref="N14"/>
    </sheetView>
  </sheetViews>
  <sheetFormatPr defaultColWidth="8.81640625" defaultRowHeight="14.5" x14ac:dyDescent="0.35"/>
  <cols>
    <col min="1" max="1" width="14.81640625" style="14" customWidth="1"/>
    <col min="2" max="2" width="11.81640625" style="14" bestFit="1" customWidth="1"/>
    <col min="3" max="3" width="6.08984375" style="14" bestFit="1" customWidth="1"/>
    <col min="4" max="4" width="9.81640625" style="14" bestFit="1" customWidth="1"/>
    <col min="5" max="5" width="7.81640625" style="14" customWidth="1"/>
    <col min="6" max="6" width="9.453125" style="14" bestFit="1" customWidth="1"/>
    <col min="7" max="7" width="18" style="14" customWidth="1"/>
    <col min="8" max="8" width="6.54296875" style="14" bestFit="1" customWidth="1"/>
    <col min="9" max="9" width="26.1796875" style="14" bestFit="1" customWidth="1"/>
    <col min="10" max="10" width="14" style="14" bestFit="1" customWidth="1"/>
    <col min="11" max="11" width="20.453125" style="14" bestFit="1" customWidth="1"/>
    <col min="12" max="12" width="15" style="14" bestFit="1" customWidth="1"/>
    <col min="13" max="13" width="12.81640625" style="14" customWidth="1"/>
    <col min="14" max="14" width="28.453125" style="14" bestFit="1" customWidth="1"/>
    <col min="15" max="15" width="12.81640625" style="14" customWidth="1"/>
    <col min="16" max="17" width="20.81640625" style="15" customWidth="1"/>
    <col min="18" max="16384" width="8.81640625" style="15"/>
  </cols>
  <sheetData>
    <row r="1" spans="1:17" ht="60" customHeight="1" x14ac:dyDescent="0.35">
      <c r="A1" s="24" t="s">
        <v>520</v>
      </c>
      <c r="G1" s="55" t="s">
        <v>37</v>
      </c>
      <c r="P1" s="56" t="s">
        <v>38</v>
      </c>
      <c r="Q1" s="57" t="s">
        <v>39</v>
      </c>
    </row>
    <row r="2" spans="1:17" x14ac:dyDescent="0.35">
      <c r="A2" s="10" t="s">
        <v>40</v>
      </c>
      <c r="B2" s="10" t="s">
        <v>41</v>
      </c>
      <c r="C2" s="10" t="s">
        <v>42</v>
      </c>
      <c r="D2" s="10" t="s">
        <v>43</v>
      </c>
      <c r="E2" s="10" t="s">
        <v>44</v>
      </c>
      <c r="F2" s="10" t="s">
        <v>45</v>
      </c>
      <c r="G2" s="10" t="s">
        <v>46</v>
      </c>
      <c r="H2" s="10" t="s">
        <v>47</v>
      </c>
      <c r="I2" s="10" t="s">
        <v>48</v>
      </c>
      <c r="J2" s="10" t="s">
        <v>49</v>
      </c>
      <c r="K2" s="10" t="s">
        <v>50</v>
      </c>
      <c r="L2" s="10" t="s">
        <v>51</v>
      </c>
      <c r="M2" s="10" t="s">
        <v>52</v>
      </c>
      <c r="N2" s="10" t="s">
        <v>53</v>
      </c>
      <c r="O2" s="10" t="s">
        <v>54</v>
      </c>
      <c r="P2" s="5" t="s">
        <v>55</v>
      </c>
    </row>
    <row r="3" spans="1:17" x14ac:dyDescent="0.35">
      <c r="A3" s="1" t="s">
        <v>521</v>
      </c>
      <c r="B3" s="102" t="s">
        <v>73</v>
      </c>
      <c r="C3" s="14" t="s">
        <v>74</v>
      </c>
      <c r="D3" s="1">
        <v>25</v>
      </c>
      <c r="E3" s="1" t="s">
        <v>82</v>
      </c>
      <c r="F3" s="1" t="s">
        <v>86</v>
      </c>
      <c r="G3" s="1">
        <v>3</v>
      </c>
      <c r="H3" s="14">
        <v>9</v>
      </c>
      <c r="I3" s="58" t="s">
        <v>522</v>
      </c>
      <c r="J3" s="52" t="s">
        <v>523</v>
      </c>
      <c r="K3" s="4" t="s">
        <v>524</v>
      </c>
      <c r="L3" s="1" t="s">
        <v>525</v>
      </c>
      <c r="M3" s="1"/>
      <c r="N3" s="1"/>
      <c r="O3" s="1"/>
      <c r="P3" s="54" t="b">
        <v>0</v>
      </c>
    </row>
    <row r="4" spans="1:17" x14ac:dyDescent="0.35">
      <c r="A4" s="1" t="s">
        <v>521</v>
      </c>
      <c r="B4" s="108" t="s">
        <v>73</v>
      </c>
      <c r="C4" s="14" t="s">
        <v>79</v>
      </c>
      <c r="D4" s="1">
        <v>25</v>
      </c>
      <c r="E4" s="23" t="s">
        <v>75</v>
      </c>
      <c r="F4" s="1" t="s">
        <v>86</v>
      </c>
      <c r="G4" s="1">
        <v>3</v>
      </c>
      <c r="H4" s="14">
        <v>9</v>
      </c>
      <c r="I4" s="58" t="s">
        <v>522</v>
      </c>
      <c r="J4" s="52" t="s">
        <v>523</v>
      </c>
      <c r="K4" s="4" t="s">
        <v>524</v>
      </c>
      <c r="L4" s="1" t="s">
        <v>525</v>
      </c>
      <c r="M4" s="1"/>
      <c r="N4" s="1"/>
      <c r="O4" s="1"/>
      <c r="P4" s="54" t="b">
        <v>0</v>
      </c>
    </row>
    <row r="5" spans="1:17" x14ac:dyDescent="0.35">
      <c r="A5" s="1" t="s">
        <v>521</v>
      </c>
      <c r="B5" s="108" t="s">
        <v>73</v>
      </c>
      <c r="C5" s="14" t="s">
        <v>81</v>
      </c>
      <c r="D5" s="1">
        <v>25</v>
      </c>
      <c r="E5" s="23" t="s">
        <v>75</v>
      </c>
      <c r="F5" s="23" t="s">
        <v>86</v>
      </c>
      <c r="G5" s="1">
        <v>3</v>
      </c>
      <c r="H5" s="103">
        <v>10</v>
      </c>
      <c r="I5" s="58" t="s">
        <v>522</v>
      </c>
      <c r="J5" s="52" t="s">
        <v>523</v>
      </c>
      <c r="K5" s="4" t="s">
        <v>524</v>
      </c>
      <c r="L5" s="1" t="s">
        <v>525</v>
      </c>
      <c r="M5" s="1"/>
      <c r="N5" s="1"/>
      <c r="O5" s="1"/>
      <c r="P5" s="54" t="b">
        <v>0</v>
      </c>
    </row>
    <row r="6" spans="1:17" x14ac:dyDescent="0.35">
      <c r="A6" s="1"/>
      <c r="D6" s="1"/>
      <c r="E6" s="1"/>
      <c r="F6" s="1"/>
      <c r="G6" s="1"/>
      <c r="J6" s="4"/>
      <c r="K6" s="4"/>
      <c r="L6" s="1"/>
      <c r="M6" s="1"/>
      <c r="N6" s="1"/>
      <c r="O6" s="1"/>
      <c r="P6" s="54" t="b">
        <v>0</v>
      </c>
    </row>
    <row r="7" spans="1:17" x14ac:dyDescent="0.35">
      <c r="A7" s="1"/>
      <c r="D7" s="1"/>
      <c r="E7" s="1"/>
      <c r="F7" s="1"/>
      <c r="G7" s="1"/>
      <c r="J7" s="4"/>
      <c r="K7" s="4"/>
      <c r="L7" s="1"/>
      <c r="M7" s="1"/>
      <c r="N7" s="1"/>
      <c r="O7" s="1"/>
      <c r="P7" s="54" t="b">
        <v>0</v>
      </c>
    </row>
    <row r="8" spans="1:17" x14ac:dyDescent="0.35">
      <c r="A8" s="1"/>
      <c r="D8" s="1"/>
      <c r="E8" s="1"/>
      <c r="F8" s="1"/>
      <c r="G8" s="1"/>
      <c r="J8" s="4"/>
      <c r="K8" s="4"/>
      <c r="L8" s="1"/>
      <c r="M8" s="1"/>
      <c r="N8" s="1"/>
      <c r="P8" s="54" t="b">
        <v>0</v>
      </c>
    </row>
    <row r="9" spans="1:17" x14ac:dyDescent="0.35">
      <c r="A9" s="1"/>
      <c r="D9" s="1"/>
      <c r="E9" s="1"/>
      <c r="F9" s="1"/>
      <c r="G9" s="1"/>
      <c r="J9" s="4"/>
      <c r="K9" s="4"/>
      <c r="L9" s="1"/>
      <c r="M9" s="1"/>
      <c r="N9" s="1"/>
      <c r="P9" s="54" t="b">
        <v>0</v>
      </c>
    </row>
    <row r="10" spans="1:17" x14ac:dyDescent="0.35">
      <c r="A10" s="1"/>
      <c r="D10" s="1"/>
      <c r="E10" s="1"/>
      <c r="F10" s="1"/>
      <c r="G10" s="1"/>
      <c r="J10" s="4"/>
      <c r="K10" s="4"/>
      <c r="L10" s="1"/>
      <c r="M10" s="1"/>
      <c r="N10" s="1"/>
      <c r="P10" s="54" t="b">
        <v>0</v>
      </c>
    </row>
    <row r="11" spans="1:17" x14ac:dyDescent="0.35">
      <c r="A11" s="1"/>
      <c r="D11" s="1"/>
      <c r="E11" s="1"/>
      <c r="F11" s="1"/>
      <c r="G11" s="1"/>
      <c r="J11" s="4"/>
      <c r="K11" s="4"/>
      <c r="L11" s="1"/>
      <c r="M11" s="1"/>
      <c r="N11" s="1"/>
      <c r="P11" s="54" t="b">
        <v>0</v>
      </c>
    </row>
    <row r="12" spans="1:17" x14ac:dyDescent="0.35">
      <c r="A12" s="1"/>
      <c r="D12" s="1"/>
      <c r="E12" s="1"/>
      <c r="F12" s="1"/>
      <c r="G12" s="1"/>
      <c r="J12" s="4"/>
      <c r="K12" s="4"/>
      <c r="L12" s="1"/>
      <c r="M12" s="1"/>
      <c r="N12" s="1"/>
      <c r="P12" s="54" t="b">
        <v>0</v>
      </c>
    </row>
    <row r="13" spans="1:17" x14ac:dyDescent="0.35">
      <c r="A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54" t="b">
        <v>0</v>
      </c>
    </row>
    <row r="14" spans="1:17" x14ac:dyDescent="0.35">
      <c r="A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54" t="b">
        <v>0</v>
      </c>
    </row>
    <row r="15" spans="1:17" x14ac:dyDescent="0.35">
      <c r="A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54" t="b">
        <v>0</v>
      </c>
    </row>
    <row r="16" spans="1:17" x14ac:dyDescent="0.35">
      <c r="A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54" t="b">
        <v>0</v>
      </c>
    </row>
    <row r="17" spans="1:16" x14ac:dyDescent="0.35">
      <c r="A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54" t="b">
        <v>0</v>
      </c>
    </row>
    <row r="18" spans="1:16" x14ac:dyDescent="0.35">
      <c r="A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54" t="b">
        <v>0</v>
      </c>
    </row>
    <row r="19" spans="1:16" x14ac:dyDescent="0.35">
      <c r="A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54" t="b">
        <v>0</v>
      </c>
    </row>
    <row r="20" spans="1:16" x14ac:dyDescent="0.35">
      <c r="A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54" t="b">
        <v>0</v>
      </c>
    </row>
    <row r="21" spans="1:16" x14ac:dyDescent="0.35">
      <c r="A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54" t="b">
        <v>0</v>
      </c>
    </row>
    <row r="22" spans="1:16" x14ac:dyDescent="0.35">
      <c r="A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54" t="b">
        <v>0</v>
      </c>
    </row>
    <row r="23" spans="1:16" x14ac:dyDescent="0.35">
      <c r="A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54" t="b">
        <v>0</v>
      </c>
    </row>
    <row r="24" spans="1:16" x14ac:dyDescent="0.35">
      <c r="A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54" t="b">
        <v>0</v>
      </c>
    </row>
    <row r="25" spans="1:16" x14ac:dyDescent="0.35">
      <c r="A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54" t="b">
        <v>0</v>
      </c>
    </row>
    <row r="26" spans="1:16" x14ac:dyDescent="0.35">
      <c r="A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54" t="b">
        <v>0</v>
      </c>
    </row>
    <row r="27" spans="1:16" x14ac:dyDescent="0.35">
      <c r="A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54" t="b">
        <v>0</v>
      </c>
    </row>
    <row r="28" spans="1:16" x14ac:dyDescent="0.35">
      <c r="A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54" t="b">
        <v>0</v>
      </c>
    </row>
    <row r="29" spans="1:16" x14ac:dyDescent="0.35">
      <c r="A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54" t="b">
        <v>0</v>
      </c>
    </row>
    <row r="30" spans="1:16" x14ac:dyDescent="0.35">
      <c r="A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54" t="b">
        <v>0</v>
      </c>
    </row>
    <row r="31" spans="1:16" x14ac:dyDescent="0.35">
      <c r="A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54" t="b">
        <v>0</v>
      </c>
    </row>
    <row r="32" spans="1:16" x14ac:dyDescent="0.35">
      <c r="A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4" t="b">
        <v>0</v>
      </c>
    </row>
    <row r="33" spans="1:16" x14ac:dyDescent="0.35">
      <c r="A33" s="1"/>
      <c r="D33" s="1"/>
      <c r="E33" s="1"/>
      <c r="F33" s="1"/>
      <c r="G33" s="1"/>
      <c r="J33" s="1"/>
      <c r="K33" s="1"/>
      <c r="L33" s="1"/>
      <c r="M33" s="1"/>
      <c r="N33" s="1"/>
      <c r="O33" s="1"/>
      <c r="P33" s="54" t="b">
        <v>0</v>
      </c>
    </row>
    <row r="34" spans="1:16" x14ac:dyDescent="0.35">
      <c r="A34" s="1"/>
      <c r="D34" s="1"/>
      <c r="E34" s="1"/>
      <c r="F34" s="1"/>
      <c r="G34" s="1"/>
      <c r="J34" s="1"/>
      <c r="K34" s="1"/>
      <c r="L34" s="1"/>
      <c r="M34" s="1"/>
      <c r="N34" s="1"/>
      <c r="O34" s="1"/>
      <c r="P34" s="54" t="b">
        <v>0</v>
      </c>
    </row>
    <row r="35" spans="1:16" x14ac:dyDescent="0.35">
      <c r="A35" s="1"/>
      <c r="D35" s="1"/>
      <c r="E35" s="1"/>
      <c r="F35" s="1"/>
      <c r="G35" s="1"/>
      <c r="J35" s="1"/>
      <c r="K35" s="1"/>
      <c r="L35" s="1"/>
      <c r="M35" s="1"/>
      <c r="N35" s="1"/>
      <c r="O35" s="1"/>
      <c r="P35" s="54" t="b">
        <v>0</v>
      </c>
    </row>
    <row r="36" spans="1:16" x14ac:dyDescent="0.35">
      <c r="A36" s="1"/>
      <c r="D36" s="1"/>
      <c r="E36" s="1"/>
      <c r="F36" s="1"/>
      <c r="G36" s="1"/>
      <c r="J36" s="1"/>
      <c r="K36" s="1"/>
      <c r="L36" s="1"/>
      <c r="M36" s="1"/>
      <c r="N36" s="1"/>
      <c r="O36" s="1"/>
      <c r="P36" s="54" t="b">
        <v>0</v>
      </c>
    </row>
    <row r="37" spans="1:16" x14ac:dyDescent="0.35">
      <c r="A37" s="1"/>
      <c r="D37" s="1"/>
      <c r="E37" s="1"/>
      <c r="F37" s="1"/>
      <c r="G37" s="1"/>
      <c r="J37" s="1"/>
      <c r="K37" s="1"/>
      <c r="L37" s="1"/>
      <c r="M37" s="1"/>
      <c r="N37" s="1"/>
      <c r="O37" s="1"/>
      <c r="P37" s="54" t="b">
        <v>0</v>
      </c>
    </row>
    <row r="38" spans="1:16" x14ac:dyDescent="0.35">
      <c r="A38" s="1"/>
      <c r="D38" s="1"/>
      <c r="E38" s="1"/>
      <c r="F38" s="1"/>
      <c r="G38" s="1"/>
      <c r="J38" s="1"/>
      <c r="K38" s="1"/>
      <c r="L38" s="1"/>
      <c r="M38" s="1"/>
      <c r="N38" s="1"/>
      <c r="P38" s="54" t="b">
        <v>0</v>
      </c>
    </row>
    <row r="39" spans="1:16" x14ac:dyDescent="0.35">
      <c r="A39" s="1"/>
      <c r="D39" s="1"/>
      <c r="E39" s="1"/>
      <c r="F39" s="1"/>
      <c r="G39" s="1"/>
      <c r="J39" s="1"/>
      <c r="K39" s="1"/>
      <c r="L39" s="1"/>
      <c r="M39" s="1"/>
      <c r="N39" s="1"/>
      <c r="P39" s="54" t="b">
        <v>0</v>
      </c>
    </row>
    <row r="40" spans="1:16" x14ac:dyDescent="0.35">
      <c r="A40" s="1"/>
      <c r="D40" s="1"/>
      <c r="E40" s="1"/>
      <c r="F40" s="1"/>
      <c r="G40" s="1"/>
      <c r="J40" s="1"/>
      <c r="K40" s="1"/>
      <c r="L40" s="1"/>
      <c r="M40" s="1"/>
      <c r="N40" s="1"/>
      <c r="P40" s="54" t="b">
        <v>0</v>
      </c>
    </row>
    <row r="41" spans="1:16" x14ac:dyDescent="0.35">
      <c r="A41" s="1"/>
      <c r="D41" s="1"/>
      <c r="E41" s="1"/>
      <c r="F41" s="1"/>
      <c r="G41" s="1"/>
      <c r="J41" s="1"/>
      <c r="K41" s="1"/>
      <c r="L41" s="1"/>
      <c r="M41" s="1"/>
      <c r="N41" s="1"/>
      <c r="P41" s="54" t="b">
        <v>0</v>
      </c>
    </row>
    <row r="42" spans="1:16" x14ac:dyDescent="0.35">
      <c r="A42" s="1"/>
      <c r="D42" s="1"/>
      <c r="E42" s="1"/>
      <c r="F42" s="1"/>
      <c r="G42" s="1"/>
      <c r="J42" s="1"/>
      <c r="K42" s="1"/>
      <c r="L42" s="1"/>
      <c r="M42" s="1"/>
      <c r="N42" s="1"/>
      <c r="P42" s="54" t="b">
        <v>0</v>
      </c>
    </row>
    <row r="43" spans="1:16" x14ac:dyDescent="0.35">
      <c r="A43" s="1"/>
      <c r="D43" s="1"/>
      <c r="F43" s="59"/>
      <c r="G43" s="1"/>
      <c r="I43" s="2"/>
      <c r="J43" s="1"/>
      <c r="N43" s="1"/>
      <c r="P43" s="54" t="b">
        <v>0</v>
      </c>
    </row>
    <row r="44" spans="1:16" x14ac:dyDescent="0.35">
      <c r="A44" s="1"/>
      <c r="D44" s="1"/>
      <c r="F44" s="1"/>
      <c r="G44" s="1"/>
      <c r="I44" s="2"/>
      <c r="J44" s="1"/>
      <c r="N44" s="1"/>
      <c r="P44" s="54" t="b">
        <v>0</v>
      </c>
    </row>
    <row r="45" spans="1:16" x14ac:dyDescent="0.35">
      <c r="A45" s="1"/>
      <c r="D45" s="1"/>
      <c r="F45" s="59"/>
      <c r="G45" s="1"/>
      <c r="I45" s="2"/>
      <c r="J45" s="1"/>
      <c r="N45" s="1"/>
      <c r="P45" s="54" t="b">
        <v>0</v>
      </c>
    </row>
    <row r="46" spans="1:16" x14ac:dyDescent="0.35">
      <c r="A46" s="1"/>
      <c r="D46" s="1"/>
      <c r="F46" s="1"/>
      <c r="G46" s="1"/>
      <c r="I46" s="2"/>
      <c r="J46" s="1"/>
      <c r="N46" s="1"/>
      <c r="P46" s="54" t="b">
        <v>0</v>
      </c>
    </row>
    <row r="47" spans="1:16" x14ac:dyDescent="0.35">
      <c r="A47" s="1"/>
      <c r="D47" s="1"/>
      <c r="F47" s="59"/>
      <c r="G47" s="1"/>
      <c r="I47" s="2"/>
      <c r="J47" s="1"/>
      <c r="N47" s="1"/>
      <c r="P47" s="54" t="b">
        <v>0</v>
      </c>
    </row>
    <row r="48" spans="1:16" x14ac:dyDescent="0.35">
      <c r="A48" s="1"/>
      <c r="D48" s="1"/>
      <c r="F48" s="1"/>
      <c r="G48" s="1"/>
      <c r="I48" s="2"/>
      <c r="J48" s="1"/>
      <c r="N48" s="1"/>
      <c r="P48" s="54" t="b">
        <v>0</v>
      </c>
    </row>
    <row r="49" spans="1:16" x14ac:dyDescent="0.35">
      <c r="A49" s="1"/>
      <c r="D49" s="1"/>
      <c r="F49" s="59"/>
      <c r="G49" s="1"/>
      <c r="I49" s="2"/>
      <c r="J49" s="1"/>
      <c r="N49" s="1"/>
      <c r="P49" s="54" t="b">
        <v>0</v>
      </c>
    </row>
    <row r="50" spans="1:16" x14ac:dyDescent="0.35">
      <c r="A50" s="1"/>
      <c r="D50" s="1"/>
      <c r="F50" s="1"/>
      <c r="G50" s="1"/>
      <c r="I50" s="2"/>
      <c r="J50" s="1"/>
      <c r="N50" s="1"/>
      <c r="P50" s="54" t="b">
        <v>0</v>
      </c>
    </row>
    <row r="51" spans="1:16" x14ac:dyDescent="0.35">
      <c r="A51" s="1"/>
      <c r="D51" s="1"/>
      <c r="F51" s="59"/>
      <c r="G51" s="1"/>
      <c r="I51" s="2"/>
      <c r="J51" s="1"/>
      <c r="N51" s="1"/>
      <c r="P51" s="54" t="b">
        <v>0</v>
      </c>
    </row>
    <row r="52" spans="1:16" x14ac:dyDescent="0.35">
      <c r="A52" s="1"/>
      <c r="D52" s="1"/>
      <c r="F52" s="1"/>
      <c r="G52" s="1"/>
      <c r="I52" s="2"/>
      <c r="J52" s="1"/>
      <c r="N52" s="1"/>
      <c r="P52" s="54" t="b">
        <v>0</v>
      </c>
    </row>
    <row r="53" spans="1:16" x14ac:dyDescent="0.35">
      <c r="A53" s="1"/>
      <c r="D53" s="1"/>
      <c r="F53" s="1"/>
      <c r="G53" s="1"/>
      <c r="J53" s="1"/>
      <c r="N53" s="1"/>
      <c r="P53" s="54" t="b">
        <v>0</v>
      </c>
    </row>
    <row r="54" spans="1:16" x14ac:dyDescent="0.35">
      <c r="A54" s="1"/>
      <c r="D54" s="1"/>
      <c r="F54" s="1"/>
      <c r="G54" s="1"/>
      <c r="J54" s="1"/>
      <c r="N54" s="1"/>
      <c r="P54" s="54" t="b">
        <v>0</v>
      </c>
    </row>
    <row r="55" spans="1:16" x14ac:dyDescent="0.35">
      <c r="A55" s="1"/>
      <c r="D55" s="1"/>
      <c r="F55" s="1"/>
      <c r="G55" s="1"/>
      <c r="J55" s="1"/>
      <c r="N55" s="1"/>
      <c r="P55" s="54" t="b">
        <v>0</v>
      </c>
    </row>
    <row r="56" spans="1:16" x14ac:dyDescent="0.35">
      <c r="A56" s="1"/>
      <c r="D56" s="1"/>
      <c r="F56" s="1"/>
      <c r="G56" s="1"/>
      <c r="J56" s="1"/>
      <c r="N56" s="1"/>
      <c r="P56" s="54" t="b">
        <v>0</v>
      </c>
    </row>
    <row r="57" spans="1:16" x14ac:dyDescent="0.35">
      <c r="A57" s="1"/>
      <c r="D57" s="1"/>
      <c r="F57" s="1"/>
      <c r="G57" s="1"/>
      <c r="J57" s="1"/>
      <c r="N57" s="1"/>
      <c r="P57" s="54" t="b">
        <v>0</v>
      </c>
    </row>
    <row r="58" spans="1:16" x14ac:dyDescent="0.35">
      <c r="A58" s="1"/>
      <c r="D58" s="1"/>
      <c r="F58" s="1"/>
      <c r="G58" s="1"/>
      <c r="J58" s="1"/>
      <c r="N58" s="1"/>
      <c r="P58" s="54" t="b">
        <v>0</v>
      </c>
    </row>
    <row r="59" spans="1:16" x14ac:dyDescent="0.35">
      <c r="A59" s="1"/>
      <c r="D59" s="1"/>
      <c r="F59" s="1"/>
      <c r="G59" s="1"/>
      <c r="J59" s="1"/>
      <c r="N59" s="1"/>
      <c r="P59" s="54" t="b">
        <v>0</v>
      </c>
    </row>
    <row r="60" spans="1:16" x14ac:dyDescent="0.35">
      <c r="A60" s="1"/>
      <c r="D60" s="1"/>
      <c r="F60" s="1"/>
      <c r="G60" s="1"/>
      <c r="J60" s="1"/>
      <c r="N60" s="1"/>
      <c r="P60" s="54" t="b">
        <v>0</v>
      </c>
    </row>
    <row r="61" spans="1:16" x14ac:dyDescent="0.35">
      <c r="A61" s="1"/>
      <c r="D61" s="1"/>
      <c r="F61" s="1"/>
      <c r="G61" s="1"/>
      <c r="J61" s="1"/>
      <c r="N61" s="1"/>
      <c r="P61" s="54" t="b">
        <v>0</v>
      </c>
    </row>
    <row r="62" spans="1:16" x14ac:dyDescent="0.35">
      <c r="A62" s="1"/>
      <c r="D62" s="1"/>
      <c r="F62" s="1"/>
      <c r="G62" s="1"/>
      <c r="J62" s="1"/>
      <c r="N62" s="1"/>
      <c r="P62" s="54" t="b">
        <v>0</v>
      </c>
    </row>
    <row r="63" spans="1:16" x14ac:dyDescent="0.35">
      <c r="A63" s="1"/>
      <c r="F63" s="1"/>
      <c r="G63" s="1"/>
      <c r="J63" s="1"/>
      <c r="N63" s="1"/>
      <c r="P63" s="54" t="b">
        <v>0</v>
      </c>
    </row>
    <row r="64" spans="1:16" x14ac:dyDescent="0.35">
      <c r="A64" s="1"/>
      <c r="F64" s="1"/>
      <c r="G64" s="1"/>
      <c r="J64" s="1"/>
      <c r="N64" s="1"/>
      <c r="P64" s="54" t="b">
        <v>0</v>
      </c>
    </row>
    <row r="65" spans="1:16" x14ac:dyDescent="0.35">
      <c r="A65" s="1"/>
      <c r="F65" s="1"/>
      <c r="G65" s="1"/>
      <c r="J65" s="1"/>
      <c r="N65" s="1"/>
      <c r="P65" s="54" t="b">
        <v>0</v>
      </c>
    </row>
    <row r="66" spans="1:16" x14ac:dyDescent="0.35">
      <c r="A66" s="1"/>
      <c r="F66" s="1"/>
      <c r="G66" s="1"/>
      <c r="J66" s="1"/>
      <c r="N66" s="1"/>
      <c r="P66" s="54" t="b">
        <v>0</v>
      </c>
    </row>
    <row r="67" spans="1:16" x14ac:dyDescent="0.35">
      <c r="A67" s="1"/>
      <c r="F67" s="1"/>
      <c r="G67" s="1"/>
      <c r="J67" s="1"/>
      <c r="N67" s="1"/>
      <c r="P67" s="54" t="b">
        <v>0</v>
      </c>
    </row>
    <row r="68" spans="1:16" x14ac:dyDescent="0.35">
      <c r="A68" s="1"/>
      <c r="F68" s="1"/>
      <c r="G68" s="1"/>
      <c r="J68" s="1"/>
      <c r="N68" s="1"/>
      <c r="P68" s="54" t="b">
        <v>0</v>
      </c>
    </row>
    <row r="69" spans="1:16" x14ac:dyDescent="0.35">
      <c r="A69" s="1"/>
      <c r="F69" s="1"/>
      <c r="G69" s="1"/>
      <c r="J69" s="1"/>
      <c r="N69" s="1"/>
      <c r="P69" s="54" t="b">
        <v>0</v>
      </c>
    </row>
    <row r="70" spans="1:16" x14ac:dyDescent="0.35">
      <c r="A70" s="1"/>
      <c r="F70" s="1"/>
      <c r="G70" s="1"/>
      <c r="J70" s="1"/>
      <c r="N70" s="1"/>
      <c r="P70" s="54" t="b">
        <v>0</v>
      </c>
    </row>
    <row r="71" spans="1:16" x14ac:dyDescent="0.35">
      <c r="A71" s="1"/>
      <c r="F71" s="1"/>
      <c r="G71" s="1"/>
      <c r="J71" s="1"/>
      <c r="N71" s="1"/>
      <c r="P71" s="54" t="b">
        <v>0</v>
      </c>
    </row>
    <row r="72" spans="1:16" x14ac:dyDescent="0.35">
      <c r="A72" s="1"/>
      <c r="F72" s="1"/>
      <c r="G72" s="1"/>
      <c r="J72" s="1"/>
      <c r="N72" s="1"/>
      <c r="P72" s="54" t="b">
        <v>0</v>
      </c>
    </row>
    <row r="73" spans="1:16" x14ac:dyDescent="0.35">
      <c r="A73" s="1"/>
      <c r="F73" s="1"/>
      <c r="G73" s="1"/>
      <c r="J73" s="1"/>
      <c r="N73" s="1"/>
      <c r="P73" s="54" t="b">
        <v>0</v>
      </c>
    </row>
    <row r="74" spans="1:16" x14ac:dyDescent="0.35">
      <c r="A74" s="1"/>
      <c r="F74" s="1"/>
      <c r="G74" s="1"/>
      <c r="J74" s="1"/>
      <c r="N74" s="1"/>
      <c r="P74" s="54" t="b">
        <v>0</v>
      </c>
    </row>
    <row r="75" spans="1:16" x14ac:dyDescent="0.35">
      <c r="A75" s="1"/>
      <c r="F75" s="1"/>
      <c r="G75" s="1"/>
      <c r="J75" s="1"/>
      <c r="N75" s="1"/>
      <c r="P75" s="54" t="b">
        <v>0</v>
      </c>
    </row>
    <row r="76" spans="1:16" x14ac:dyDescent="0.35">
      <c r="A76" s="1"/>
      <c r="F76" s="1"/>
      <c r="G76" s="1"/>
      <c r="J76" s="1"/>
      <c r="N76" s="1"/>
      <c r="P76" s="54" t="b">
        <v>0</v>
      </c>
    </row>
    <row r="77" spans="1:16" x14ac:dyDescent="0.35">
      <c r="A77" s="1"/>
      <c r="F77" s="1"/>
      <c r="G77" s="1"/>
      <c r="J77" s="1"/>
      <c r="N77" s="1"/>
      <c r="P77" s="54" t="b">
        <v>0</v>
      </c>
    </row>
    <row r="78" spans="1:16" x14ac:dyDescent="0.35">
      <c r="A78" s="1"/>
      <c r="F78" s="1"/>
      <c r="G78" s="1"/>
      <c r="J78" s="1"/>
      <c r="N78" s="1"/>
      <c r="P78" s="54" t="b">
        <v>0</v>
      </c>
    </row>
    <row r="79" spans="1:16" x14ac:dyDescent="0.35">
      <c r="A79" s="1"/>
      <c r="F79" s="1"/>
      <c r="G79" s="1"/>
      <c r="J79" s="1"/>
      <c r="N79" s="1"/>
      <c r="P79" s="54" t="b">
        <v>0</v>
      </c>
    </row>
    <row r="80" spans="1:16" x14ac:dyDescent="0.35">
      <c r="A80" s="1"/>
      <c r="F80" s="1"/>
      <c r="G80" s="1"/>
      <c r="J80" s="1"/>
      <c r="N80" s="1"/>
      <c r="P80" s="54" t="b">
        <v>0</v>
      </c>
    </row>
    <row r="81" spans="1:16" x14ac:dyDescent="0.35">
      <c r="A81" s="1"/>
      <c r="F81" s="1"/>
      <c r="G81" s="1"/>
      <c r="J81" s="1"/>
      <c r="N81" s="1"/>
      <c r="P81" s="54" t="b">
        <v>0</v>
      </c>
    </row>
    <row r="82" spans="1:16" x14ac:dyDescent="0.35">
      <c r="A82" s="1"/>
      <c r="F82" s="1"/>
      <c r="G82" s="1"/>
      <c r="J82" s="1"/>
      <c r="N82" s="1"/>
      <c r="P82" s="54" t="b">
        <v>0</v>
      </c>
    </row>
    <row r="83" spans="1:16" x14ac:dyDescent="0.35">
      <c r="A83" s="1"/>
      <c r="F83" s="1"/>
      <c r="G83" s="1"/>
      <c r="J83" s="1"/>
      <c r="N83" s="1"/>
      <c r="P83" s="54" t="b">
        <v>0</v>
      </c>
    </row>
    <row r="84" spans="1:16" x14ac:dyDescent="0.35">
      <c r="A84" s="1"/>
      <c r="F84" s="1"/>
      <c r="G84" s="1"/>
      <c r="J84" s="1"/>
      <c r="N84" s="1"/>
      <c r="P84" s="54" t="b">
        <v>0</v>
      </c>
    </row>
    <row r="85" spans="1:16" x14ac:dyDescent="0.35">
      <c r="A85" s="1"/>
      <c r="F85" s="1"/>
      <c r="G85" s="1"/>
      <c r="J85" s="1"/>
      <c r="N85" s="1"/>
      <c r="P85" s="54" t="b">
        <v>0</v>
      </c>
    </row>
    <row r="86" spans="1:16" x14ac:dyDescent="0.35">
      <c r="A86" s="1"/>
      <c r="F86" s="1"/>
      <c r="G86" s="1"/>
      <c r="J86" s="1"/>
      <c r="N86" s="1"/>
      <c r="P86" s="54" t="b">
        <v>0</v>
      </c>
    </row>
    <row r="87" spans="1:16" x14ac:dyDescent="0.35">
      <c r="A87" s="1"/>
      <c r="F87" s="1"/>
      <c r="G87" s="1"/>
      <c r="J87" s="1"/>
      <c r="N87" s="1"/>
      <c r="P87" s="54" t="b">
        <v>0</v>
      </c>
    </row>
    <row r="88" spans="1:16" x14ac:dyDescent="0.35">
      <c r="A88" s="1"/>
      <c r="F88" s="1"/>
      <c r="G88" s="1"/>
      <c r="J88" s="1"/>
      <c r="N88" s="1"/>
      <c r="P88" s="54" t="b">
        <v>0</v>
      </c>
    </row>
    <row r="89" spans="1:16" x14ac:dyDescent="0.35">
      <c r="A89" s="1"/>
      <c r="F89" s="1"/>
      <c r="G89" s="1"/>
      <c r="J89" s="1"/>
      <c r="N89" s="1"/>
      <c r="P89" s="54" t="b">
        <v>0</v>
      </c>
    </row>
    <row r="90" spans="1:16" x14ac:dyDescent="0.35">
      <c r="A90" s="1"/>
      <c r="F90" s="1"/>
      <c r="G90" s="1"/>
      <c r="J90" s="1"/>
      <c r="N90" s="1"/>
      <c r="P90" s="54" t="b">
        <v>0</v>
      </c>
    </row>
    <row r="91" spans="1:16" x14ac:dyDescent="0.35">
      <c r="A91" s="1"/>
      <c r="F91" s="1"/>
      <c r="G91" s="1"/>
      <c r="J91" s="1"/>
      <c r="N91" s="1"/>
      <c r="P91" s="54" t="b">
        <v>0</v>
      </c>
    </row>
    <row r="92" spans="1:16" x14ac:dyDescent="0.35">
      <c r="A92" s="1"/>
      <c r="F92" s="1"/>
      <c r="G92" s="1"/>
      <c r="J92" s="1"/>
      <c r="N92" s="1"/>
      <c r="P92" s="54" t="b">
        <v>0</v>
      </c>
    </row>
    <row r="93" spans="1:16" x14ac:dyDescent="0.35">
      <c r="A93" s="1"/>
      <c r="F93" s="1"/>
      <c r="G93" s="1"/>
      <c r="J93" s="1"/>
      <c r="N93" s="1"/>
      <c r="P93" s="54" t="b">
        <v>0</v>
      </c>
    </row>
    <row r="94" spans="1:16" x14ac:dyDescent="0.35">
      <c r="A94" s="1"/>
      <c r="F94" s="1"/>
      <c r="G94" s="1"/>
      <c r="J94" s="1"/>
      <c r="N94" s="1"/>
      <c r="P94" s="54" t="b">
        <v>0</v>
      </c>
    </row>
    <row r="95" spans="1:16" x14ac:dyDescent="0.35">
      <c r="A95" s="1"/>
      <c r="F95" s="1"/>
      <c r="G95" s="1"/>
      <c r="J95" s="1"/>
      <c r="N95" s="1"/>
      <c r="P95" s="54" t="b">
        <v>0</v>
      </c>
    </row>
    <row r="96" spans="1:16" x14ac:dyDescent="0.35">
      <c r="A96" s="1"/>
      <c r="F96" s="1"/>
      <c r="G96" s="1"/>
      <c r="J96" s="1"/>
      <c r="N96" s="1"/>
      <c r="P96" s="54" t="b">
        <v>0</v>
      </c>
    </row>
    <row r="97" spans="1:16" x14ac:dyDescent="0.35">
      <c r="A97" s="1"/>
      <c r="F97" s="1"/>
      <c r="G97" s="1"/>
      <c r="J97" s="1"/>
      <c r="N97" s="1"/>
      <c r="P97" s="54" t="b">
        <v>0</v>
      </c>
    </row>
    <row r="98" spans="1:16" x14ac:dyDescent="0.35">
      <c r="A98" s="1"/>
      <c r="F98" s="1"/>
      <c r="G98" s="1"/>
      <c r="J98" s="1"/>
      <c r="N98" s="1"/>
      <c r="P98" s="54" t="b">
        <v>0</v>
      </c>
    </row>
    <row r="99" spans="1:16" x14ac:dyDescent="0.35">
      <c r="A99" s="1"/>
      <c r="F99" s="1"/>
      <c r="G99" s="1"/>
      <c r="J99" s="1"/>
      <c r="N99" s="1"/>
      <c r="P99" s="54" t="b">
        <v>0</v>
      </c>
    </row>
    <row r="100" spans="1:16" x14ac:dyDescent="0.35">
      <c r="A100" s="1"/>
      <c r="F100" s="1"/>
      <c r="G100" s="1"/>
      <c r="J100" s="1"/>
      <c r="N100" s="1"/>
      <c r="P100" s="54" t="b">
        <v>0</v>
      </c>
    </row>
    <row r="101" spans="1:16" x14ac:dyDescent="0.35">
      <c r="A101" s="1"/>
      <c r="F101" s="1"/>
      <c r="G101" s="1"/>
      <c r="J101" s="1"/>
      <c r="N101" s="1"/>
      <c r="P101" s="54" t="b">
        <v>0</v>
      </c>
    </row>
    <row r="102" spans="1:16" x14ac:dyDescent="0.35">
      <c r="A102" s="1"/>
      <c r="F102" s="1"/>
      <c r="G102" s="1"/>
      <c r="J102" s="1"/>
      <c r="N102" s="1"/>
      <c r="P102" s="54" t="b">
        <v>0</v>
      </c>
    </row>
    <row r="103" spans="1:16" x14ac:dyDescent="0.35">
      <c r="A103" s="1"/>
      <c r="F103" s="1"/>
      <c r="G103" s="1"/>
      <c r="J103" s="1"/>
      <c r="N103" s="1"/>
      <c r="P103" s="54" t="b">
        <v>0</v>
      </c>
    </row>
    <row r="104" spans="1:16" x14ac:dyDescent="0.35">
      <c r="A104" s="1"/>
      <c r="F104" s="1"/>
      <c r="G104" s="1"/>
      <c r="J104" s="1"/>
      <c r="N104" s="1"/>
      <c r="P104" s="54" t="b">
        <v>0</v>
      </c>
    </row>
    <row r="105" spans="1:16" x14ac:dyDescent="0.35">
      <c r="A105" s="1"/>
      <c r="F105" s="1"/>
      <c r="G105" s="1"/>
      <c r="J105" s="1"/>
      <c r="N105" s="1"/>
      <c r="P105" s="54" t="b">
        <v>0</v>
      </c>
    </row>
    <row r="106" spans="1:16" x14ac:dyDescent="0.35">
      <c r="A106" s="1"/>
      <c r="F106" s="1"/>
      <c r="G106" s="1"/>
      <c r="J106" s="1"/>
      <c r="N106" s="1"/>
      <c r="P106" s="54" t="b">
        <v>0</v>
      </c>
    </row>
    <row r="107" spans="1:16" x14ac:dyDescent="0.35">
      <c r="A107" s="1"/>
      <c r="F107" s="1"/>
      <c r="G107" s="1"/>
      <c r="J107" s="1"/>
      <c r="N107" s="1"/>
      <c r="P107" s="54" t="b">
        <v>0</v>
      </c>
    </row>
    <row r="108" spans="1:16" x14ac:dyDescent="0.35">
      <c r="A108" s="1"/>
      <c r="F108" s="1"/>
      <c r="G108" s="1"/>
      <c r="J108" s="1"/>
      <c r="N108" s="1"/>
      <c r="P108" s="54" t="b">
        <v>0</v>
      </c>
    </row>
    <row r="109" spans="1:16" x14ac:dyDescent="0.35">
      <c r="A109" s="1"/>
      <c r="F109" s="1"/>
      <c r="G109" s="1"/>
      <c r="J109" s="1"/>
      <c r="N109" s="1"/>
      <c r="P109" s="54" t="b">
        <v>0</v>
      </c>
    </row>
  </sheetData>
  <dataValidations count="2">
    <dataValidation type="list" allowBlank="1" showInputMessage="1" showErrorMessage="1" sqref="N110:N1048576 O28:O32 O38:O1048576" xr:uid="{305C3CB9-5A2C-404A-9660-E5C2BF50DB77}">
      <formula1>#REF!</formula1>
    </dataValidation>
    <dataValidation type="list" allowBlank="1" showInputMessage="1" showErrorMessage="1" sqref="J110:J1048576" xr:uid="{F54C29B6-8733-4E9A-ADE0-3D3BB58D46A6}">
      <formula1>$B$3:$B$343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D4A0-493E-4907-B18B-2D355F119FFC}">
  <dimension ref="A1:Q94"/>
  <sheetViews>
    <sheetView zoomScale="85" zoomScaleNormal="85" workbookViewId="0">
      <selection activeCell="B3" sqref="B3:B4"/>
    </sheetView>
  </sheetViews>
  <sheetFormatPr defaultRowHeight="14.5" x14ac:dyDescent="0.35"/>
  <cols>
    <col min="1" max="1" width="10.81640625" style="2" customWidth="1"/>
    <col min="2" max="2" width="12.1796875" style="2" bestFit="1" customWidth="1"/>
    <col min="3" max="6" width="12.54296875" style="2" customWidth="1"/>
    <col min="7" max="7" width="20.453125" style="2" bestFit="1" customWidth="1"/>
    <col min="8" max="8" width="25.453125" style="2" customWidth="1"/>
    <col min="9" max="9" width="31.81640625" style="2" customWidth="1"/>
    <col min="10" max="10" width="19.1796875" style="2" customWidth="1"/>
    <col min="11" max="11" width="19.81640625" style="2" customWidth="1"/>
    <col min="12" max="12" width="20.81640625" style="2" customWidth="1"/>
    <col min="13" max="13" width="12.81640625" style="2" customWidth="1"/>
    <col min="14" max="14" width="20.81640625" style="2" customWidth="1"/>
    <col min="15" max="15" width="12.81640625" style="2" customWidth="1"/>
    <col min="16" max="17" width="20.81640625" customWidth="1"/>
  </cols>
  <sheetData>
    <row r="1" spans="1:17" ht="60" customHeight="1" x14ac:dyDescent="0.35">
      <c r="A1" s="24" t="s">
        <v>508</v>
      </c>
      <c r="G1" s="11" t="s">
        <v>37</v>
      </c>
      <c r="P1" s="12" t="s">
        <v>38</v>
      </c>
      <c r="Q1" s="13" t="s">
        <v>39</v>
      </c>
    </row>
    <row r="2" spans="1:17" x14ac:dyDescent="0.35">
      <c r="A2" s="10" t="s">
        <v>40</v>
      </c>
      <c r="B2" s="10" t="s">
        <v>41</v>
      </c>
      <c r="C2" s="10" t="s">
        <v>42</v>
      </c>
      <c r="D2" s="10" t="s">
        <v>43</v>
      </c>
      <c r="E2" s="10" t="s">
        <v>44</v>
      </c>
      <c r="F2" s="10" t="s">
        <v>45</v>
      </c>
      <c r="G2" s="10" t="s">
        <v>46</v>
      </c>
      <c r="H2" s="10" t="s">
        <v>47</v>
      </c>
      <c r="I2" s="10" t="s">
        <v>48</v>
      </c>
      <c r="J2" s="10" t="s">
        <v>49</v>
      </c>
      <c r="K2" s="10" t="s">
        <v>50</v>
      </c>
      <c r="L2" s="10" t="s">
        <v>51</v>
      </c>
      <c r="M2" s="10" t="s">
        <v>52</v>
      </c>
      <c r="N2" s="10" t="s">
        <v>53</v>
      </c>
      <c r="O2" s="10" t="s">
        <v>54</v>
      </c>
      <c r="P2" s="5" t="s">
        <v>55</v>
      </c>
    </row>
    <row r="3" spans="1:17" x14ac:dyDescent="0.35">
      <c r="A3" s="4" t="s">
        <v>509</v>
      </c>
      <c r="B3" s="99" t="s">
        <v>202</v>
      </c>
      <c r="C3" s="1" t="s">
        <v>510</v>
      </c>
      <c r="D3" s="1">
        <v>72</v>
      </c>
      <c r="E3" s="23" t="s">
        <v>85</v>
      </c>
      <c r="F3" s="1" t="s">
        <v>76</v>
      </c>
      <c r="G3" s="1">
        <v>2</v>
      </c>
      <c r="H3" s="1" t="s">
        <v>471</v>
      </c>
      <c r="I3" s="1" t="s">
        <v>511</v>
      </c>
      <c r="J3" s="1" t="s">
        <v>512</v>
      </c>
      <c r="K3" s="1" t="s">
        <v>513</v>
      </c>
      <c r="L3" s="1"/>
      <c r="M3" s="1"/>
      <c r="N3" s="1"/>
      <c r="O3" s="1"/>
      <c r="P3" s="6" t="b">
        <v>0</v>
      </c>
    </row>
    <row r="4" spans="1:17" x14ac:dyDescent="0.35">
      <c r="A4" s="4" t="s">
        <v>509</v>
      </c>
      <c r="B4" s="99" t="s">
        <v>202</v>
      </c>
      <c r="C4" s="1" t="s">
        <v>510</v>
      </c>
      <c r="D4" s="1">
        <v>72</v>
      </c>
      <c r="E4" s="23" t="s">
        <v>91</v>
      </c>
      <c r="F4" s="1" t="s">
        <v>86</v>
      </c>
      <c r="G4" s="1">
        <v>2</v>
      </c>
      <c r="H4" s="1">
        <v>8</v>
      </c>
      <c r="I4" s="1" t="s">
        <v>511</v>
      </c>
      <c r="J4" s="1" t="s">
        <v>512</v>
      </c>
      <c r="K4" s="1" t="s">
        <v>513</v>
      </c>
      <c r="L4" s="1"/>
      <c r="M4" s="1"/>
      <c r="N4" s="1"/>
      <c r="O4" s="1"/>
      <c r="P4" s="6" t="b">
        <v>0</v>
      </c>
    </row>
    <row r="5" spans="1:17" x14ac:dyDescent="0.35">
      <c r="A5" s="4" t="s">
        <v>509</v>
      </c>
      <c r="B5" s="99" t="s">
        <v>205</v>
      </c>
      <c r="C5" s="1" t="s">
        <v>467</v>
      </c>
      <c r="D5" s="1">
        <v>36</v>
      </c>
      <c r="E5" s="1" t="s">
        <v>82</v>
      </c>
      <c r="F5" s="1" t="s">
        <v>86</v>
      </c>
      <c r="G5" s="1">
        <v>2</v>
      </c>
      <c r="H5" s="1">
        <v>1</v>
      </c>
      <c r="I5" s="1" t="s">
        <v>473</v>
      </c>
      <c r="J5" s="1" t="s">
        <v>514</v>
      </c>
      <c r="K5" s="1" t="s">
        <v>513</v>
      </c>
      <c r="L5" s="1"/>
      <c r="M5" s="1"/>
      <c r="N5" s="1"/>
      <c r="O5" s="1"/>
      <c r="P5" s="6" t="b">
        <v>0</v>
      </c>
    </row>
    <row r="6" spans="1:17" x14ac:dyDescent="0.35">
      <c r="A6" s="4" t="s">
        <v>509</v>
      </c>
      <c r="B6" s="99" t="s">
        <v>205</v>
      </c>
      <c r="C6" s="1" t="s">
        <v>467</v>
      </c>
      <c r="D6" s="1">
        <v>36</v>
      </c>
      <c r="E6" s="1" t="s">
        <v>82</v>
      </c>
      <c r="F6" s="1" t="s">
        <v>86</v>
      </c>
      <c r="G6" s="1">
        <v>2</v>
      </c>
      <c r="H6" s="1" t="s">
        <v>515</v>
      </c>
      <c r="I6" s="1" t="s">
        <v>473</v>
      </c>
      <c r="J6" s="1" t="s">
        <v>516</v>
      </c>
      <c r="K6" s="1" t="s">
        <v>513</v>
      </c>
      <c r="L6" s="1"/>
      <c r="M6" s="1"/>
      <c r="N6" s="1"/>
      <c r="O6" s="1"/>
      <c r="P6" s="6" t="b">
        <v>0</v>
      </c>
    </row>
    <row r="7" spans="1:17" s="15" customFormat="1" x14ac:dyDescent="0.35">
      <c r="A7" s="4" t="s">
        <v>509</v>
      </c>
      <c r="B7" s="99" t="s">
        <v>205</v>
      </c>
      <c r="C7" s="1" t="s">
        <v>467</v>
      </c>
      <c r="D7" s="1">
        <v>36</v>
      </c>
      <c r="E7" s="1" t="s">
        <v>82</v>
      </c>
      <c r="F7" s="1" t="s">
        <v>86</v>
      </c>
      <c r="G7" s="1">
        <v>2</v>
      </c>
      <c r="H7" s="1" t="s">
        <v>517</v>
      </c>
      <c r="I7" s="1" t="s">
        <v>473</v>
      </c>
      <c r="J7" s="1" t="s">
        <v>518</v>
      </c>
      <c r="K7" s="1" t="s">
        <v>513</v>
      </c>
      <c r="L7" s="14"/>
      <c r="M7" s="14"/>
      <c r="N7" s="1"/>
      <c r="O7" s="14"/>
      <c r="P7" s="54" t="b">
        <v>0</v>
      </c>
    </row>
    <row r="8" spans="1:17" x14ac:dyDescent="0.35">
      <c r="A8" s="4" t="s">
        <v>509</v>
      </c>
      <c r="B8" s="99" t="s">
        <v>205</v>
      </c>
      <c r="C8" s="1" t="s">
        <v>467</v>
      </c>
      <c r="D8" s="1">
        <v>36</v>
      </c>
      <c r="E8" s="1" t="s">
        <v>82</v>
      </c>
      <c r="F8" s="1" t="s">
        <v>86</v>
      </c>
      <c r="G8" s="1">
        <v>2</v>
      </c>
      <c r="H8" s="1" t="s">
        <v>519</v>
      </c>
      <c r="I8" s="1" t="s">
        <v>473</v>
      </c>
      <c r="J8" s="1" t="s">
        <v>514</v>
      </c>
      <c r="K8" s="1" t="s">
        <v>513</v>
      </c>
      <c r="L8" s="1"/>
      <c r="M8" s="1"/>
      <c r="N8" s="1"/>
      <c r="O8" s="1"/>
      <c r="P8" s="6" t="b">
        <v>0</v>
      </c>
    </row>
    <row r="9" spans="1:17" x14ac:dyDescent="0.35">
      <c r="B9" s="14"/>
      <c r="C9" s="1"/>
      <c r="D9" s="1"/>
      <c r="E9" s="1"/>
      <c r="F9" s="1"/>
      <c r="G9" s="1"/>
      <c r="J9" s="1"/>
      <c r="K9" s="1"/>
      <c r="L9" s="1"/>
      <c r="M9" s="1"/>
      <c r="N9" s="1"/>
      <c r="O9" s="1"/>
      <c r="P9" s="6" t="b">
        <v>0</v>
      </c>
    </row>
    <row r="10" spans="1:17" x14ac:dyDescent="0.35">
      <c r="B10" s="14"/>
      <c r="C10" s="1"/>
      <c r="D10" s="1"/>
      <c r="E10" s="1"/>
      <c r="F10" s="1"/>
      <c r="G10" s="1"/>
      <c r="J10" s="1"/>
      <c r="K10" s="1"/>
      <c r="L10" s="1"/>
      <c r="M10" s="1"/>
      <c r="N10" s="1"/>
      <c r="O10" s="1"/>
      <c r="P10" s="6" t="b">
        <v>0</v>
      </c>
    </row>
    <row r="11" spans="1:17" x14ac:dyDescent="0.35"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  <c r="P11" s="6" t="b">
        <v>0</v>
      </c>
    </row>
    <row r="12" spans="1:17" x14ac:dyDescent="0.35">
      <c r="C12" s="1"/>
      <c r="D12" s="1"/>
      <c r="E12" s="1"/>
      <c r="F12" s="1"/>
      <c r="G12" s="1"/>
      <c r="J12" s="1"/>
      <c r="K12" s="1"/>
      <c r="L12" s="1"/>
      <c r="M12" s="1"/>
      <c r="N12" s="1"/>
      <c r="O12" s="1"/>
      <c r="P12" s="6" t="b">
        <v>0</v>
      </c>
    </row>
    <row r="13" spans="1:17" x14ac:dyDescent="0.35">
      <c r="C13" s="1"/>
      <c r="D13" s="1"/>
      <c r="E13" s="1"/>
      <c r="F13" s="1"/>
      <c r="G13" s="1"/>
      <c r="J13" s="1"/>
      <c r="K13" s="1"/>
      <c r="L13" s="1"/>
      <c r="M13" s="1"/>
      <c r="N13" s="1"/>
      <c r="O13" s="1"/>
      <c r="P13" s="6" t="b">
        <v>0</v>
      </c>
    </row>
    <row r="14" spans="1:17" x14ac:dyDescent="0.35">
      <c r="C14" s="1"/>
      <c r="D14" s="1"/>
      <c r="E14" s="1"/>
      <c r="F14" s="1"/>
      <c r="G14" s="1"/>
      <c r="J14" s="1"/>
      <c r="K14" s="1"/>
      <c r="L14" s="1"/>
      <c r="M14" s="1"/>
      <c r="N14" s="1"/>
      <c r="O14" s="1"/>
      <c r="P14" s="6" t="b">
        <v>0</v>
      </c>
    </row>
    <row r="15" spans="1:17" x14ac:dyDescent="0.35">
      <c r="C15" s="1"/>
      <c r="D15" s="1"/>
      <c r="E15" s="1"/>
      <c r="F15" s="1"/>
      <c r="G15" s="1"/>
      <c r="J15" s="1"/>
      <c r="K15" s="1"/>
      <c r="L15" s="1"/>
      <c r="M15" s="1"/>
      <c r="N15" s="1"/>
      <c r="O15" s="1"/>
      <c r="P15" s="6" t="b">
        <v>0</v>
      </c>
    </row>
    <row r="16" spans="1:17" x14ac:dyDescent="0.35">
      <c r="C16" s="1"/>
      <c r="D16" s="1"/>
      <c r="E16" s="1"/>
      <c r="F16" s="1"/>
      <c r="G16" s="1"/>
      <c r="J16" s="1"/>
      <c r="K16" s="1"/>
      <c r="L16" s="1"/>
      <c r="M16" s="1"/>
      <c r="N16" s="1"/>
      <c r="O16" s="1"/>
      <c r="P16" s="6" t="b">
        <v>0</v>
      </c>
    </row>
    <row r="17" spans="3:16" x14ac:dyDescent="0.35">
      <c r="C17" s="1"/>
      <c r="D17" s="1"/>
      <c r="E17" s="1"/>
      <c r="F17" s="1"/>
      <c r="G17" s="1"/>
      <c r="J17" s="1"/>
      <c r="K17" s="1"/>
      <c r="L17" s="1"/>
      <c r="M17" s="1"/>
      <c r="N17" s="1"/>
      <c r="O17" s="1"/>
      <c r="P17" s="6" t="b">
        <v>0</v>
      </c>
    </row>
    <row r="18" spans="3:16" x14ac:dyDescent="0.35">
      <c r="C18" s="1"/>
      <c r="D18" s="1"/>
      <c r="E18" s="1"/>
      <c r="F18" s="1"/>
      <c r="G18" s="1"/>
      <c r="J18" s="1"/>
      <c r="K18" s="1"/>
      <c r="L18" s="1"/>
      <c r="M18" s="1"/>
      <c r="N18" s="1"/>
      <c r="O18" s="1"/>
      <c r="P18" s="6" t="b">
        <v>0</v>
      </c>
    </row>
    <row r="19" spans="3:16" x14ac:dyDescent="0.35">
      <c r="C19" s="1"/>
      <c r="D19" s="1"/>
      <c r="E19" s="1"/>
      <c r="F19" s="1"/>
      <c r="G19" s="1"/>
      <c r="J19" s="1"/>
      <c r="K19" s="1"/>
      <c r="L19" s="1"/>
      <c r="M19" s="1"/>
      <c r="N19" s="1"/>
      <c r="O19" s="1"/>
      <c r="P19" s="6" t="b">
        <v>0</v>
      </c>
    </row>
    <row r="20" spans="3:16" x14ac:dyDescent="0.35">
      <c r="C20" s="1"/>
      <c r="D20" s="1"/>
      <c r="E20" s="1"/>
      <c r="F20" s="1"/>
      <c r="G20" s="1"/>
      <c r="J20" s="1"/>
      <c r="K20" s="1"/>
      <c r="L20" s="1"/>
      <c r="M20" s="1"/>
      <c r="N20" s="1"/>
      <c r="O20" s="1"/>
      <c r="P20" s="6" t="b">
        <v>0</v>
      </c>
    </row>
    <row r="21" spans="3:16" x14ac:dyDescent="0.35">
      <c r="C21" s="1"/>
      <c r="D21" s="1"/>
      <c r="E21" s="1"/>
      <c r="F21" s="1"/>
      <c r="G21" s="1"/>
      <c r="J21" s="1"/>
      <c r="N21" s="1"/>
      <c r="P21" s="6" t="b">
        <v>0</v>
      </c>
    </row>
    <row r="22" spans="3:16" x14ac:dyDescent="0.35">
      <c r="C22" s="1"/>
      <c r="D22" s="1"/>
      <c r="E22" s="1"/>
      <c r="F22" s="1"/>
      <c r="G22" s="1"/>
      <c r="J22" s="1"/>
      <c r="N22" s="1"/>
      <c r="P22" s="6" t="b">
        <v>0</v>
      </c>
    </row>
    <row r="23" spans="3:16" x14ac:dyDescent="0.35">
      <c r="C23" s="1"/>
      <c r="D23" s="1"/>
      <c r="E23" s="1"/>
      <c r="F23" s="1"/>
      <c r="G23" s="1"/>
      <c r="J23" s="1"/>
      <c r="N23" s="1"/>
      <c r="P23" s="6" t="b">
        <v>0</v>
      </c>
    </row>
    <row r="24" spans="3:16" x14ac:dyDescent="0.35">
      <c r="E24" s="1"/>
      <c r="F24" s="1"/>
      <c r="G24" s="1"/>
      <c r="J24" s="1"/>
      <c r="N24" s="1"/>
      <c r="P24" s="6" t="b">
        <v>0</v>
      </c>
    </row>
    <row r="25" spans="3:16" x14ac:dyDescent="0.35">
      <c r="E25" s="1"/>
      <c r="F25" s="1"/>
      <c r="G25" s="1"/>
      <c r="J25" s="1"/>
      <c r="N25" s="1"/>
      <c r="P25" s="6" t="b">
        <v>0</v>
      </c>
    </row>
    <row r="26" spans="3:16" x14ac:dyDescent="0.35">
      <c r="E26" s="1"/>
      <c r="F26" s="1"/>
      <c r="G26" s="1"/>
      <c r="J26" s="1"/>
      <c r="N26" s="1"/>
      <c r="P26" s="6" t="b">
        <v>0</v>
      </c>
    </row>
    <row r="27" spans="3:16" x14ac:dyDescent="0.35">
      <c r="E27" s="1"/>
      <c r="F27" s="1"/>
      <c r="G27" s="1"/>
      <c r="J27" s="1"/>
      <c r="N27" s="1"/>
      <c r="P27" s="6" t="b">
        <v>0</v>
      </c>
    </row>
    <row r="28" spans="3:16" x14ac:dyDescent="0.35">
      <c r="F28" s="1"/>
      <c r="G28" s="1"/>
      <c r="J28" s="1"/>
      <c r="N28" s="1"/>
      <c r="P28" s="6" t="b">
        <v>0</v>
      </c>
    </row>
    <row r="29" spans="3:16" x14ac:dyDescent="0.35">
      <c r="F29" s="1"/>
      <c r="G29" s="1"/>
      <c r="J29" s="1"/>
      <c r="N29" s="1"/>
      <c r="P29" s="6" t="b">
        <v>0</v>
      </c>
    </row>
    <row r="30" spans="3:16" x14ac:dyDescent="0.35">
      <c r="F30" s="1"/>
      <c r="G30" s="1"/>
      <c r="J30" s="1"/>
      <c r="N30" s="1"/>
      <c r="P30" s="6" t="b">
        <v>0</v>
      </c>
    </row>
    <row r="31" spans="3:16" x14ac:dyDescent="0.35">
      <c r="F31" s="1"/>
      <c r="G31" s="1"/>
      <c r="J31" s="1"/>
      <c r="N31" s="1"/>
      <c r="P31" s="6" t="b">
        <v>0</v>
      </c>
    </row>
    <row r="32" spans="3:16" x14ac:dyDescent="0.35">
      <c r="F32" s="1"/>
      <c r="G32" s="1"/>
      <c r="J32" s="1"/>
      <c r="N32" s="1"/>
      <c r="P32" s="6" t="b">
        <v>0</v>
      </c>
    </row>
    <row r="33" spans="6:16" x14ac:dyDescent="0.35">
      <c r="F33" s="1"/>
      <c r="G33" s="1"/>
      <c r="J33" s="1"/>
      <c r="N33" s="1"/>
      <c r="P33" s="6" t="b">
        <v>0</v>
      </c>
    </row>
    <row r="34" spans="6:16" x14ac:dyDescent="0.35">
      <c r="F34" s="1"/>
      <c r="G34" s="1"/>
      <c r="J34" s="1"/>
      <c r="N34" s="1"/>
      <c r="P34" s="6" t="b">
        <v>0</v>
      </c>
    </row>
    <row r="35" spans="6:16" x14ac:dyDescent="0.35">
      <c r="F35" s="1"/>
      <c r="G35" s="1"/>
      <c r="J35" s="1"/>
      <c r="N35" s="1"/>
      <c r="P35" s="6" t="b">
        <v>0</v>
      </c>
    </row>
    <row r="36" spans="6:16" x14ac:dyDescent="0.35">
      <c r="F36" s="1"/>
      <c r="G36" s="1"/>
      <c r="J36" s="1"/>
      <c r="N36" s="1"/>
      <c r="P36" s="6" t="b">
        <v>0</v>
      </c>
    </row>
    <row r="37" spans="6:16" x14ac:dyDescent="0.35">
      <c r="F37" s="1"/>
      <c r="G37" s="1"/>
      <c r="J37" s="1"/>
      <c r="N37" s="1"/>
      <c r="P37" s="6" t="b">
        <v>0</v>
      </c>
    </row>
    <row r="38" spans="6:16" x14ac:dyDescent="0.35">
      <c r="F38" s="1"/>
      <c r="G38" s="1"/>
      <c r="J38" s="1"/>
      <c r="N38" s="1"/>
      <c r="P38" s="6" t="b">
        <v>0</v>
      </c>
    </row>
    <row r="39" spans="6:16" x14ac:dyDescent="0.35">
      <c r="F39" s="1"/>
      <c r="G39" s="1"/>
      <c r="J39" s="1"/>
      <c r="N39" s="1"/>
      <c r="P39" s="6" t="b">
        <v>0</v>
      </c>
    </row>
    <row r="40" spans="6:16" x14ac:dyDescent="0.35">
      <c r="F40" s="1"/>
      <c r="G40" s="1"/>
      <c r="J40" s="1"/>
      <c r="N40" s="1"/>
      <c r="P40" s="6" t="b">
        <v>0</v>
      </c>
    </row>
    <row r="41" spans="6:16" x14ac:dyDescent="0.35">
      <c r="F41" s="1"/>
      <c r="G41" s="1"/>
      <c r="J41" s="1"/>
      <c r="N41" s="1"/>
      <c r="P41" s="6" t="b">
        <v>0</v>
      </c>
    </row>
    <row r="42" spans="6:16" x14ac:dyDescent="0.35">
      <c r="F42" s="1"/>
      <c r="G42" s="1"/>
      <c r="J42" s="1"/>
      <c r="N42" s="1"/>
      <c r="P42" s="6" t="b">
        <v>0</v>
      </c>
    </row>
    <row r="43" spans="6:16" x14ac:dyDescent="0.35">
      <c r="F43" s="1"/>
      <c r="G43" s="1"/>
      <c r="J43" s="1"/>
      <c r="N43" s="1"/>
      <c r="P43" s="6" t="b">
        <v>0</v>
      </c>
    </row>
    <row r="44" spans="6:16" x14ac:dyDescent="0.35">
      <c r="F44" s="1"/>
      <c r="G44" s="1"/>
      <c r="J44" s="1"/>
      <c r="N44" s="1"/>
      <c r="P44" s="6" t="b">
        <v>0</v>
      </c>
    </row>
    <row r="45" spans="6:16" x14ac:dyDescent="0.35">
      <c r="F45" s="1"/>
      <c r="G45" s="1"/>
      <c r="J45" s="1"/>
      <c r="N45" s="1"/>
      <c r="P45" s="6" t="b">
        <v>0</v>
      </c>
    </row>
    <row r="46" spans="6:16" x14ac:dyDescent="0.35">
      <c r="F46" s="1"/>
      <c r="G46" s="1"/>
      <c r="J46" s="1"/>
      <c r="N46" s="1"/>
      <c r="P46" s="6" t="b">
        <v>0</v>
      </c>
    </row>
    <row r="47" spans="6:16" x14ac:dyDescent="0.35">
      <c r="F47" s="1"/>
      <c r="G47" s="1"/>
      <c r="J47" s="1"/>
      <c r="N47" s="1"/>
      <c r="P47" s="6" t="b">
        <v>0</v>
      </c>
    </row>
    <row r="48" spans="6:16" x14ac:dyDescent="0.35">
      <c r="F48" s="1"/>
      <c r="G48" s="1"/>
      <c r="J48" s="1"/>
      <c r="N48" s="1"/>
      <c r="P48" s="6" t="b">
        <v>0</v>
      </c>
    </row>
    <row r="49" spans="6:16" x14ac:dyDescent="0.35">
      <c r="F49" s="1"/>
      <c r="G49" s="1"/>
      <c r="J49" s="1"/>
      <c r="N49" s="1"/>
      <c r="P49" s="6" t="b">
        <v>0</v>
      </c>
    </row>
    <row r="50" spans="6:16" x14ac:dyDescent="0.35">
      <c r="F50" s="1"/>
      <c r="G50" s="1"/>
      <c r="J50" s="1"/>
      <c r="N50" s="1"/>
      <c r="P50" s="6" t="b">
        <v>0</v>
      </c>
    </row>
    <row r="51" spans="6:16" x14ac:dyDescent="0.35">
      <c r="F51" s="1"/>
      <c r="G51" s="1"/>
      <c r="J51" s="1"/>
      <c r="N51" s="1"/>
      <c r="P51" s="6" t="b">
        <v>0</v>
      </c>
    </row>
    <row r="52" spans="6:16" x14ac:dyDescent="0.35">
      <c r="F52" s="1"/>
      <c r="G52" s="1"/>
      <c r="J52" s="1"/>
      <c r="N52" s="1"/>
      <c r="P52" s="6" t="b">
        <v>0</v>
      </c>
    </row>
    <row r="53" spans="6:16" x14ac:dyDescent="0.35">
      <c r="F53" s="1"/>
      <c r="G53" s="1"/>
      <c r="J53" s="1"/>
      <c r="N53" s="1"/>
      <c r="P53" s="6" t="b">
        <v>0</v>
      </c>
    </row>
    <row r="54" spans="6:16" x14ac:dyDescent="0.35">
      <c r="F54" s="1"/>
      <c r="G54" s="1"/>
      <c r="J54" s="1"/>
      <c r="N54" s="1"/>
      <c r="P54" s="6" t="b">
        <v>0</v>
      </c>
    </row>
    <row r="55" spans="6:16" x14ac:dyDescent="0.35">
      <c r="F55" s="1"/>
      <c r="G55" s="1"/>
      <c r="J55" s="1"/>
      <c r="N55" s="1"/>
      <c r="P55" s="6" t="b">
        <v>0</v>
      </c>
    </row>
    <row r="56" spans="6:16" x14ac:dyDescent="0.35">
      <c r="F56" s="1"/>
      <c r="G56" s="1"/>
      <c r="J56" s="1"/>
      <c r="N56" s="1"/>
      <c r="P56" s="6" t="b">
        <v>0</v>
      </c>
    </row>
    <row r="57" spans="6:16" x14ac:dyDescent="0.35">
      <c r="F57" s="1"/>
      <c r="G57" s="1"/>
      <c r="J57" s="1"/>
      <c r="N57" s="1"/>
      <c r="P57" s="6" t="b">
        <v>0</v>
      </c>
    </row>
    <row r="58" spans="6:16" x14ac:dyDescent="0.35">
      <c r="F58" s="1"/>
      <c r="G58" s="1"/>
      <c r="J58" s="1"/>
      <c r="N58" s="1"/>
      <c r="P58" s="6" t="b">
        <v>0</v>
      </c>
    </row>
    <row r="59" spans="6:16" x14ac:dyDescent="0.35">
      <c r="F59" s="1"/>
      <c r="G59" s="1"/>
      <c r="J59" s="1"/>
      <c r="N59" s="1"/>
      <c r="P59" s="6" t="b">
        <v>0</v>
      </c>
    </row>
    <row r="60" spans="6:16" x14ac:dyDescent="0.35">
      <c r="F60" s="1"/>
      <c r="G60" s="1"/>
      <c r="J60" s="1"/>
      <c r="N60" s="1"/>
      <c r="P60" s="6" t="b">
        <v>0</v>
      </c>
    </row>
    <row r="61" spans="6:16" x14ac:dyDescent="0.35">
      <c r="F61" s="1"/>
      <c r="G61" s="1"/>
      <c r="J61" s="1"/>
      <c r="N61" s="1"/>
      <c r="P61" s="6" t="b">
        <v>0</v>
      </c>
    </row>
    <row r="62" spans="6:16" x14ac:dyDescent="0.35">
      <c r="F62" s="1"/>
      <c r="G62" s="1"/>
      <c r="J62" s="1"/>
      <c r="N62" s="1"/>
      <c r="P62" s="6" t="b">
        <v>0</v>
      </c>
    </row>
    <row r="63" spans="6:16" x14ac:dyDescent="0.35">
      <c r="F63" s="1"/>
      <c r="G63" s="1"/>
      <c r="J63" s="1"/>
      <c r="N63" s="1"/>
      <c r="P63" s="6" t="b">
        <v>0</v>
      </c>
    </row>
    <row r="64" spans="6:16" x14ac:dyDescent="0.35">
      <c r="F64" s="1"/>
      <c r="G64" s="1"/>
      <c r="J64" s="1"/>
      <c r="N64" s="1"/>
      <c r="P64" s="6" t="b">
        <v>0</v>
      </c>
    </row>
    <row r="65" spans="6:16" x14ac:dyDescent="0.35">
      <c r="F65" s="1"/>
      <c r="G65" s="1"/>
      <c r="J65" s="1"/>
      <c r="N65" s="1"/>
      <c r="P65" s="6" t="b">
        <v>0</v>
      </c>
    </row>
    <row r="66" spans="6:16" x14ac:dyDescent="0.35">
      <c r="F66" s="1"/>
      <c r="G66" s="1"/>
      <c r="J66" s="1"/>
      <c r="N66" s="1"/>
      <c r="P66" s="6" t="b">
        <v>0</v>
      </c>
    </row>
    <row r="67" spans="6:16" x14ac:dyDescent="0.35">
      <c r="F67" s="1"/>
      <c r="G67" s="1"/>
      <c r="J67" s="1"/>
      <c r="N67" s="1"/>
      <c r="P67" s="6" t="b">
        <v>0</v>
      </c>
    </row>
    <row r="68" spans="6:16" x14ac:dyDescent="0.35">
      <c r="F68" s="1"/>
      <c r="G68" s="1"/>
      <c r="J68" s="1"/>
      <c r="N68" s="1"/>
      <c r="P68" s="6" t="b">
        <v>0</v>
      </c>
    </row>
    <row r="69" spans="6:16" x14ac:dyDescent="0.35">
      <c r="F69" s="1"/>
      <c r="G69" s="1"/>
      <c r="J69" s="1"/>
      <c r="N69" s="1"/>
      <c r="P69" s="6" t="b">
        <v>0</v>
      </c>
    </row>
    <row r="70" spans="6:16" x14ac:dyDescent="0.35">
      <c r="F70" s="1"/>
      <c r="G70" s="1"/>
      <c r="J70" s="1"/>
      <c r="N70" s="1"/>
      <c r="P70" s="6" t="b">
        <v>0</v>
      </c>
    </row>
    <row r="71" spans="6:16" x14ac:dyDescent="0.35">
      <c r="F71" s="1"/>
      <c r="G71" s="1"/>
      <c r="J71" s="1"/>
      <c r="N71" s="1"/>
      <c r="P71" s="6" t="b">
        <v>0</v>
      </c>
    </row>
    <row r="72" spans="6:16" x14ac:dyDescent="0.35">
      <c r="F72" s="1"/>
      <c r="G72" s="1"/>
      <c r="J72" s="1"/>
      <c r="N72" s="1"/>
      <c r="P72" s="6" t="b">
        <v>0</v>
      </c>
    </row>
    <row r="73" spans="6:16" x14ac:dyDescent="0.35">
      <c r="F73" s="1"/>
      <c r="G73" s="1"/>
      <c r="J73" s="1"/>
      <c r="N73" s="1"/>
      <c r="P73" s="6" t="b">
        <v>0</v>
      </c>
    </row>
    <row r="74" spans="6:16" x14ac:dyDescent="0.35">
      <c r="F74" s="1"/>
      <c r="G74" s="1"/>
      <c r="J74" s="1"/>
      <c r="N74" s="1"/>
      <c r="P74" s="6" t="b">
        <v>0</v>
      </c>
    </row>
    <row r="75" spans="6:16" x14ac:dyDescent="0.35">
      <c r="F75" s="1"/>
      <c r="G75" s="1"/>
      <c r="J75" s="1"/>
      <c r="N75" s="1"/>
      <c r="P75" s="6" t="b">
        <v>0</v>
      </c>
    </row>
    <row r="76" spans="6:16" x14ac:dyDescent="0.35">
      <c r="F76" s="1"/>
      <c r="G76" s="1"/>
      <c r="J76" s="1"/>
      <c r="N76" s="1"/>
      <c r="P76" s="6" t="b">
        <v>0</v>
      </c>
    </row>
    <row r="77" spans="6:16" x14ac:dyDescent="0.35">
      <c r="F77" s="1"/>
      <c r="G77" s="1"/>
      <c r="J77" s="1"/>
      <c r="N77" s="1"/>
      <c r="P77" s="6" t="b">
        <v>0</v>
      </c>
    </row>
    <row r="78" spans="6:16" x14ac:dyDescent="0.35">
      <c r="F78" s="1"/>
      <c r="G78" s="1"/>
      <c r="J78" s="1"/>
      <c r="N78" s="1"/>
      <c r="P78" s="6" t="b">
        <v>0</v>
      </c>
    </row>
    <row r="79" spans="6:16" x14ac:dyDescent="0.35">
      <c r="F79" s="1"/>
      <c r="G79" s="1"/>
      <c r="J79" s="1"/>
      <c r="N79" s="1"/>
      <c r="P79" s="6" t="b">
        <v>0</v>
      </c>
    </row>
    <row r="80" spans="6:16" x14ac:dyDescent="0.35">
      <c r="F80" s="1"/>
      <c r="G80" s="1"/>
      <c r="J80" s="1"/>
      <c r="N80" s="1"/>
      <c r="P80" s="6" t="b">
        <v>0</v>
      </c>
    </row>
    <row r="81" spans="6:16" x14ac:dyDescent="0.35">
      <c r="F81" s="1"/>
      <c r="G81" s="1"/>
      <c r="J81" s="1"/>
      <c r="N81" s="1"/>
      <c r="P81" s="6" t="b">
        <v>0</v>
      </c>
    </row>
    <row r="82" spans="6:16" x14ac:dyDescent="0.35">
      <c r="F82" s="1"/>
      <c r="G82" s="1"/>
      <c r="J82" s="1"/>
      <c r="N82" s="1"/>
      <c r="P82" s="6" t="b">
        <v>0</v>
      </c>
    </row>
    <row r="83" spans="6:16" x14ac:dyDescent="0.35">
      <c r="F83" s="1"/>
      <c r="G83" s="1"/>
      <c r="J83" s="1"/>
      <c r="N83" s="1"/>
      <c r="P83" s="6" t="b">
        <v>0</v>
      </c>
    </row>
    <row r="84" spans="6:16" x14ac:dyDescent="0.35">
      <c r="F84" s="1"/>
      <c r="G84" s="1"/>
      <c r="J84" s="1"/>
      <c r="N84" s="1"/>
      <c r="P84" s="6" t="b">
        <v>0</v>
      </c>
    </row>
    <row r="85" spans="6:16" x14ac:dyDescent="0.35">
      <c r="F85" s="1"/>
      <c r="G85" s="1"/>
      <c r="J85" s="1"/>
      <c r="N85" s="1"/>
      <c r="P85" s="6" t="b">
        <v>0</v>
      </c>
    </row>
    <row r="86" spans="6:16" x14ac:dyDescent="0.35">
      <c r="F86" s="1"/>
      <c r="G86" s="1"/>
      <c r="J86" s="1"/>
      <c r="N86" s="1"/>
      <c r="P86" s="6" t="b">
        <v>0</v>
      </c>
    </row>
    <row r="87" spans="6:16" x14ac:dyDescent="0.35">
      <c r="F87" s="1"/>
      <c r="G87" s="1"/>
      <c r="J87" s="1"/>
      <c r="N87" s="1"/>
      <c r="P87" s="6" t="b">
        <v>0</v>
      </c>
    </row>
    <row r="88" spans="6:16" x14ac:dyDescent="0.35">
      <c r="F88" s="1"/>
      <c r="G88" s="1"/>
      <c r="J88" s="1"/>
      <c r="N88" s="1"/>
      <c r="P88" s="6" t="b">
        <v>0</v>
      </c>
    </row>
    <row r="89" spans="6:16" x14ac:dyDescent="0.35">
      <c r="F89" s="1"/>
      <c r="G89" s="1"/>
      <c r="J89" s="1"/>
      <c r="N89" s="1"/>
      <c r="P89" s="6" t="b">
        <v>0</v>
      </c>
    </row>
    <row r="90" spans="6:16" x14ac:dyDescent="0.35">
      <c r="G90" s="1"/>
      <c r="J90" s="1"/>
      <c r="N90" s="1"/>
      <c r="P90" s="6" t="b">
        <v>0</v>
      </c>
    </row>
    <row r="91" spans="6:16" x14ac:dyDescent="0.35">
      <c r="G91" s="1"/>
      <c r="J91" s="1"/>
      <c r="N91" s="1"/>
      <c r="P91" s="6" t="b">
        <v>0</v>
      </c>
    </row>
    <row r="92" spans="6:16" x14ac:dyDescent="0.35">
      <c r="G92" s="1"/>
      <c r="J92" s="1"/>
      <c r="N92" s="1"/>
      <c r="P92" s="6" t="b">
        <v>0</v>
      </c>
    </row>
    <row r="93" spans="6:16" x14ac:dyDescent="0.35">
      <c r="G93" s="1"/>
      <c r="J93" s="1"/>
      <c r="N93" s="1"/>
      <c r="P93" s="6" t="b">
        <v>0</v>
      </c>
    </row>
    <row r="94" spans="6:16" x14ac:dyDescent="0.35">
      <c r="G94" s="1"/>
      <c r="J94" s="1"/>
      <c r="N94" s="1"/>
      <c r="P94" s="6" t="b">
        <v>0</v>
      </c>
    </row>
  </sheetData>
  <phoneticPr fontId="3" type="noConversion"/>
  <dataValidations count="2">
    <dataValidation type="list" allowBlank="1" showInputMessage="1" showErrorMessage="1" sqref="N95:N1048576 O21:O1048576 O7" xr:uid="{C951A4F8-AA31-4573-B23B-6B7B042411DE}">
      <formula1>#REF!</formula1>
    </dataValidation>
    <dataValidation type="list" allowBlank="1" showInputMessage="1" showErrorMessage="1" sqref="J95:J1048576" xr:uid="{31EEB5DA-3A93-473F-BFBB-E9018A65D885}">
      <formula1>$B$3:$B$328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5A4EA-CB08-48D0-BBB2-08D4F4910737}">
  <dimension ref="A1:Q125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8" sqref="H18"/>
    </sheetView>
  </sheetViews>
  <sheetFormatPr defaultRowHeight="14.5" x14ac:dyDescent="0.35"/>
  <cols>
    <col min="1" max="1" width="9.453125" style="14" customWidth="1"/>
    <col min="2" max="2" width="12.54296875" style="2" bestFit="1" customWidth="1"/>
    <col min="3" max="3" width="9.81640625" style="2" customWidth="1"/>
    <col min="4" max="6" width="12.54296875" style="2" customWidth="1"/>
    <col min="7" max="7" width="5.54296875" style="2" customWidth="1"/>
    <col min="8" max="8" width="23.453125" style="2" customWidth="1"/>
    <col min="9" max="9" width="46.453125" style="2" customWidth="1"/>
    <col min="10" max="10" width="32.54296875" style="2" customWidth="1"/>
    <col min="11" max="11" width="25.54296875" style="2" customWidth="1"/>
    <col min="12" max="12" width="21.54296875" style="2" customWidth="1"/>
    <col min="13" max="13" width="15.54296875" style="2" bestFit="1" customWidth="1"/>
    <col min="14" max="14" width="20.81640625" style="2" customWidth="1"/>
    <col min="15" max="15" width="12.81640625" style="2" customWidth="1"/>
    <col min="16" max="17" width="20.81640625" customWidth="1"/>
  </cols>
  <sheetData>
    <row r="1" spans="1:17" ht="60" customHeight="1" x14ac:dyDescent="0.35">
      <c r="A1" s="24" t="s">
        <v>456</v>
      </c>
      <c r="G1" s="11" t="s">
        <v>37</v>
      </c>
      <c r="P1" s="12" t="s">
        <v>38</v>
      </c>
      <c r="Q1" s="13" t="s">
        <v>39</v>
      </c>
    </row>
    <row r="2" spans="1:17" x14ac:dyDescent="0.35">
      <c r="A2" s="10" t="s">
        <v>40</v>
      </c>
      <c r="B2" s="10" t="s">
        <v>41</v>
      </c>
      <c r="C2" s="10" t="s">
        <v>42</v>
      </c>
      <c r="D2" s="10" t="s">
        <v>43</v>
      </c>
      <c r="E2" s="10" t="s">
        <v>44</v>
      </c>
      <c r="F2" s="10" t="s">
        <v>45</v>
      </c>
      <c r="G2" s="10" t="s">
        <v>46</v>
      </c>
      <c r="H2" s="10" t="s">
        <v>47</v>
      </c>
      <c r="I2" s="10" t="s">
        <v>48</v>
      </c>
      <c r="J2" s="10" t="s">
        <v>49</v>
      </c>
      <c r="K2" s="10" t="s">
        <v>50</v>
      </c>
      <c r="L2" s="10" t="s">
        <v>51</v>
      </c>
      <c r="M2" s="10" t="s">
        <v>52</v>
      </c>
      <c r="N2" s="10" t="s">
        <v>53</v>
      </c>
      <c r="O2" s="10" t="s">
        <v>54</v>
      </c>
      <c r="P2" s="5" t="s">
        <v>55</v>
      </c>
    </row>
    <row r="3" spans="1:17" x14ac:dyDescent="0.35">
      <c r="A3" s="4" t="s">
        <v>457</v>
      </c>
      <c r="B3" s="99" t="s">
        <v>219</v>
      </c>
      <c r="C3" s="1" t="s">
        <v>74</v>
      </c>
      <c r="D3" s="1">
        <v>33</v>
      </c>
      <c r="E3" s="1" t="s">
        <v>88</v>
      </c>
      <c r="F3" s="43" t="s">
        <v>98</v>
      </c>
      <c r="G3" s="1">
        <v>2</v>
      </c>
      <c r="H3" s="1" t="s">
        <v>458</v>
      </c>
      <c r="I3" s="76" t="s">
        <v>580</v>
      </c>
      <c r="J3" s="1" t="s">
        <v>459</v>
      </c>
      <c r="K3" s="1"/>
      <c r="L3" s="1"/>
      <c r="M3" s="1"/>
      <c r="N3" s="1"/>
      <c r="O3" s="1"/>
      <c r="P3" s="6" t="b">
        <v>0</v>
      </c>
    </row>
    <row r="4" spans="1:17" x14ac:dyDescent="0.35">
      <c r="A4" s="4" t="s">
        <v>457</v>
      </c>
      <c r="B4" s="99" t="s">
        <v>219</v>
      </c>
      <c r="C4" s="1" t="s">
        <v>79</v>
      </c>
      <c r="D4" s="1">
        <v>33</v>
      </c>
      <c r="E4" s="1" t="s">
        <v>88</v>
      </c>
      <c r="F4" s="1" t="s">
        <v>86</v>
      </c>
      <c r="G4" s="1">
        <v>2</v>
      </c>
      <c r="H4" s="1" t="s">
        <v>458</v>
      </c>
      <c r="I4" s="76" t="s">
        <v>580</v>
      </c>
      <c r="J4" s="1" t="s">
        <v>459</v>
      </c>
      <c r="K4" s="1"/>
      <c r="L4" s="1"/>
      <c r="M4" s="1"/>
      <c r="N4" s="1"/>
      <c r="O4" s="1"/>
      <c r="P4" s="6" t="b">
        <v>0</v>
      </c>
    </row>
    <row r="5" spans="1:17" x14ac:dyDescent="0.35">
      <c r="A5" s="4" t="s">
        <v>457</v>
      </c>
      <c r="B5" s="99" t="s">
        <v>219</v>
      </c>
      <c r="C5" s="1" t="s">
        <v>81</v>
      </c>
      <c r="D5" s="1">
        <v>34</v>
      </c>
      <c r="E5" s="1" t="s">
        <v>75</v>
      </c>
      <c r="F5" s="1" t="s">
        <v>86</v>
      </c>
      <c r="G5" s="1">
        <v>2</v>
      </c>
      <c r="H5" s="1" t="s">
        <v>458</v>
      </c>
      <c r="I5" s="76" t="s">
        <v>580</v>
      </c>
      <c r="J5" s="1" t="s">
        <v>459</v>
      </c>
      <c r="K5" s="1"/>
      <c r="L5" s="1"/>
      <c r="M5" s="1"/>
      <c r="N5" s="1"/>
      <c r="O5" s="1"/>
      <c r="P5" s="6" t="b">
        <v>0</v>
      </c>
    </row>
    <row r="6" spans="1:17" ht="14.15" customHeight="1" x14ac:dyDescent="0.35">
      <c r="A6" s="4" t="s">
        <v>457</v>
      </c>
      <c r="B6" s="99" t="s">
        <v>219</v>
      </c>
      <c r="C6" s="1" t="s">
        <v>74</v>
      </c>
      <c r="D6" s="1">
        <v>33</v>
      </c>
      <c r="E6" s="1" t="s">
        <v>88</v>
      </c>
      <c r="F6" s="1" t="s">
        <v>98</v>
      </c>
      <c r="G6" s="1">
        <v>3</v>
      </c>
      <c r="H6" s="1" t="s">
        <v>460</v>
      </c>
      <c r="I6" s="43" t="s">
        <v>461</v>
      </c>
      <c r="J6" s="1" t="s">
        <v>459</v>
      </c>
      <c r="K6" s="23" t="s">
        <v>462</v>
      </c>
      <c r="L6" s="1"/>
      <c r="M6" s="1"/>
      <c r="N6" s="1"/>
      <c r="O6" s="1"/>
      <c r="P6" s="6" t="b">
        <v>0</v>
      </c>
    </row>
    <row r="7" spans="1:17" x14ac:dyDescent="0.35">
      <c r="A7" s="4" t="s">
        <v>457</v>
      </c>
      <c r="B7" s="99" t="s">
        <v>219</v>
      </c>
      <c r="C7" s="1" t="s">
        <v>79</v>
      </c>
      <c r="D7" s="1">
        <v>33</v>
      </c>
      <c r="E7" s="1" t="s">
        <v>88</v>
      </c>
      <c r="F7" s="1" t="s">
        <v>86</v>
      </c>
      <c r="G7" s="1">
        <v>3</v>
      </c>
      <c r="H7" s="1" t="s">
        <v>460</v>
      </c>
      <c r="I7" s="43" t="s">
        <v>461</v>
      </c>
      <c r="J7" s="1" t="s">
        <v>459</v>
      </c>
      <c r="K7" s="23" t="s">
        <v>462</v>
      </c>
      <c r="L7" s="1"/>
      <c r="M7" s="1"/>
      <c r="N7" s="1"/>
      <c r="O7" s="1"/>
      <c r="P7" s="6" t="b">
        <v>0</v>
      </c>
    </row>
    <row r="8" spans="1:17" x14ac:dyDescent="0.35">
      <c r="A8" s="4" t="s">
        <v>457</v>
      </c>
      <c r="B8" s="99" t="s">
        <v>219</v>
      </c>
      <c r="C8" s="1" t="s">
        <v>81</v>
      </c>
      <c r="D8" s="1">
        <v>34</v>
      </c>
      <c r="E8" s="1" t="s">
        <v>75</v>
      </c>
      <c r="F8" s="1" t="s">
        <v>86</v>
      </c>
      <c r="G8" s="1">
        <v>3</v>
      </c>
      <c r="H8" s="1" t="s">
        <v>460</v>
      </c>
      <c r="I8" s="43" t="s">
        <v>461</v>
      </c>
      <c r="J8" s="1" t="s">
        <v>459</v>
      </c>
      <c r="K8" s="23" t="s">
        <v>462</v>
      </c>
      <c r="L8" s="1"/>
      <c r="M8" s="1"/>
      <c r="N8" s="1"/>
      <c r="O8" s="1"/>
      <c r="P8" s="6" t="b">
        <v>0</v>
      </c>
    </row>
    <row r="9" spans="1:17" x14ac:dyDescent="0.35">
      <c r="A9" s="4"/>
      <c r="B9" s="1"/>
      <c r="C9" s="1"/>
      <c r="D9" s="1"/>
      <c r="E9" s="1"/>
      <c r="F9" s="1"/>
      <c r="G9" s="1"/>
      <c r="H9" s="1"/>
      <c r="I9" s="43"/>
      <c r="J9" s="1"/>
      <c r="K9" s="1"/>
      <c r="L9" s="1"/>
      <c r="M9" s="1"/>
      <c r="N9" s="1"/>
      <c r="O9" s="1"/>
      <c r="P9" s="6" t="b">
        <v>0</v>
      </c>
    </row>
    <row r="10" spans="1:17" x14ac:dyDescent="0.35">
      <c r="A10" s="4" t="s">
        <v>457</v>
      </c>
      <c r="B10" s="99" t="s">
        <v>222</v>
      </c>
      <c r="C10" s="1" t="s">
        <v>74</v>
      </c>
      <c r="D10" s="1">
        <v>33</v>
      </c>
      <c r="E10" s="1" t="s">
        <v>88</v>
      </c>
      <c r="F10" s="1" t="s">
        <v>86</v>
      </c>
      <c r="G10" s="1">
        <v>3</v>
      </c>
      <c r="H10" s="1" t="s">
        <v>463</v>
      </c>
      <c r="I10" s="43" t="s">
        <v>464</v>
      </c>
      <c r="J10" s="1" t="s">
        <v>465</v>
      </c>
      <c r="K10" s="23" t="s">
        <v>466</v>
      </c>
      <c r="L10" s="23" t="s">
        <v>462</v>
      </c>
      <c r="M10" s="1"/>
      <c r="N10" s="1"/>
      <c r="O10" s="1"/>
      <c r="P10" s="6" t="b">
        <v>0</v>
      </c>
    </row>
    <row r="11" spans="1:17" x14ac:dyDescent="0.35">
      <c r="A11" s="4" t="s">
        <v>457</v>
      </c>
      <c r="B11" s="99" t="s">
        <v>222</v>
      </c>
      <c r="C11" s="1" t="s">
        <v>79</v>
      </c>
      <c r="D11" s="1">
        <v>33</v>
      </c>
      <c r="E11" s="1" t="s">
        <v>88</v>
      </c>
      <c r="F11" s="1" t="s">
        <v>98</v>
      </c>
      <c r="G11" s="1">
        <v>3</v>
      </c>
      <c r="H11" s="1" t="s">
        <v>463</v>
      </c>
      <c r="I11" s="43" t="s">
        <v>464</v>
      </c>
      <c r="J11" s="1" t="s">
        <v>465</v>
      </c>
      <c r="K11" s="23" t="s">
        <v>466</v>
      </c>
      <c r="L11" s="23" t="s">
        <v>462</v>
      </c>
      <c r="M11" s="1"/>
      <c r="N11" s="1"/>
      <c r="O11" s="1"/>
      <c r="P11" s="6" t="b">
        <v>0</v>
      </c>
    </row>
    <row r="12" spans="1:17" x14ac:dyDescent="0.35">
      <c r="A12" s="4" t="s">
        <v>457</v>
      </c>
      <c r="B12" s="99" t="s">
        <v>222</v>
      </c>
      <c r="C12" s="1" t="s">
        <v>81</v>
      </c>
      <c r="D12" s="1">
        <v>34</v>
      </c>
      <c r="E12" s="1" t="s">
        <v>75</v>
      </c>
      <c r="F12" s="1" t="s">
        <v>98</v>
      </c>
      <c r="G12" s="1">
        <v>3</v>
      </c>
      <c r="H12" s="1" t="s">
        <v>463</v>
      </c>
      <c r="I12" s="43" t="s">
        <v>464</v>
      </c>
      <c r="J12" s="1" t="s">
        <v>465</v>
      </c>
      <c r="K12" s="23" t="s">
        <v>466</v>
      </c>
      <c r="L12" s="23" t="s">
        <v>462</v>
      </c>
      <c r="M12" s="1"/>
      <c r="N12" s="1"/>
      <c r="O12" s="1"/>
      <c r="P12" s="6" t="b">
        <v>0</v>
      </c>
    </row>
    <row r="13" spans="1:17" x14ac:dyDescent="0.35">
      <c r="A13" s="4" t="s">
        <v>457</v>
      </c>
      <c r="B13" s="99" t="s">
        <v>222</v>
      </c>
      <c r="C13" s="1" t="s">
        <v>467</v>
      </c>
      <c r="D13" s="1">
        <f>33+33</f>
        <v>66</v>
      </c>
      <c r="E13" s="1" t="s">
        <v>88</v>
      </c>
      <c r="F13" s="1" t="s">
        <v>86</v>
      </c>
      <c r="G13" s="1">
        <v>3</v>
      </c>
      <c r="H13" s="1">
        <v>10</v>
      </c>
      <c r="I13" s="43" t="s">
        <v>464</v>
      </c>
      <c r="J13" s="1" t="s">
        <v>465</v>
      </c>
      <c r="K13" s="23" t="s">
        <v>466</v>
      </c>
      <c r="L13" s="23"/>
      <c r="M13" s="1"/>
      <c r="N13" s="1"/>
      <c r="O13" s="1"/>
      <c r="P13" s="6" t="b">
        <v>0</v>
      </c>
    </row>
    <row r="14" spans="1:17" x14ac:dyDescent="0.35">
      <c r="A14" s="4" t="s">
        <v>457</v>
      </c>
      <c r="B14" s="99" t="s">
        <v>222</v>
      </c>
      <c r="C14" s="1" t="s">
        <v>81</v>
      </c>
      <c r="D14" s="1">
        <v>34</v>
      </c>
      <c r="E14" s="1" t="s">
        <v>88</v>
      </c>
      <c r="F14" s="1" t="s">
        <v>98</v>
      </c>
      <c r="G14" s="1">
        <v>3</v>
      </c>
      <c r="H14" s="1">
        <v>10</v>
      </c>
      <c r="I14" s="43" t="s">
        <v>464</v>
      </c>
      <c r="J14" s="1" t="s">
        <v>465</v>
      </c>
      <c r="K14" s="23" t="s">
        <v>466</v>
      </c>
      <c r="L14" s="23"/>
      <c r="M14" s="1"/>
      <c r="N14" s="1"/>
      <c r="O14" s="1"/>
      <c r="P14" s="6" t="b">
        <v>0</v>
      </c>
    </row>
    <row r="15" spans="1:17" x14ac:dyDescent="0.35">
      <c r="A15" s="4"/>
      <c r="B15" s="1"/>
      <c r="C15" s="1"/>
      <c r="D15" s="1"/>
      <c r="E15" s="1"/>
      <c r="F15" s="1"/>
      <c r="G15" s="1"/>
      <c r="H15" s="1"/>
      <c r="I15" s="43"/>
      <c r="J15" s="1"/>
      <c r="K15" s="1"/>
      <c r="L15" s="1"/>
      <c r="M15" s="1"/>
      <c r="N15" s="1"/>
      <c r="O15" s="1"/>
      <c r="P15" s="6" t="b">
        <v>0</v>
      </c>
    </row>
    <row r="16" spans="1:17" x14ac:dyDescent="0.35">
      <c r="A16" s="4" t="s">
        <v>457</v>
      </c>
      <c r="B16" s="99" t="s">
        <v>224</v>
      </c>
      <c r="C16" s="1" t="s">
        <v>74</v>
      </c>
      <c r="D16" s="1">
        <f>33</f>
        <v>33</v>
      </c>
      <c r="E16" s="1" t="s">
        <v>88</v>
      </c>
      <c r="F16" s="1" t="s">
        <v>86</v>
      </c>
      <c r="G16" s="1">
        <v>3</v>
      </c>
      <c r="H16" s="118" t="s">
        <v>759</v>
      </c>
      <c r="I16" s="43" t="s">
        <v>522</v>
      </c>
      <c r="J16" s="1" t="s">
        <v>468</v>
      </c>
      <c r="K16" s="23" t="s">
        <v>469</v>
      </c>
      <c r="L16" s="1"/>
      <c r="M16" s="1"/>
      <c r="N16" s="1"/>
      <c r="O16" s="1"/>
      <c r="P16" s="6" t="b">
        <v>0</v>
      </c>
    </row>
    <row r="17" spans="1:16" x14ac:dyDescent="0.35">
      <c r="A17" s="4" t="s">
        <v>457</v>
      </c>
      <c r="B17" s="99" t="s">
        <v>224</v>
      </c>
      <c r="C17" s="1" t="s">
        <v>79</v>
      </c>
      <c r="D17" s="1">
        <v>33</v>
      </c>
      <c r="E17" s="1" t="s">
        <v>88</v>
      </c>
      <c r="F17" s="1" t="s">
        <v>98</v>
      </c>
      <c r="G17" s="1">
        <v>3</v>
      </c>
      <c r="H17" s="118" t="s">
        <v>759</v>
      </c>
      <c r="I17" s="43" t="s">
        <v>522</v>
      </c>
      <c r="J17" s="1" t="s">
        <v>468</v>
      </c>
      <c r="K17" s="23" t="s">
        <v>469</v>
      </c>
      <c r="L17" s="1"/>
      <c r="M17" s="1"/>
      <c r="N17" s="1"/>
      <c r="O17" s="1"/>
      <c r="P17" s="6" t="b">
        <v>0</v>
      </c>
    </row>
    <row r="18" spans="1:16" x14ac:dyDescent="0.35">
      <c r="A18" s="4" t="s">
        <v>457</v>
      </c>
      <c r="B18" s="99" t="s">
        <v>224</v>
      </c>
      <c r="C18" s="1" t="s">
        <v>81</v>
      </c>
      <c r="D18" s="1">
        <v>34</v>
      </c>
      <c r="E18" s="1" t="s">
        <v>75</v>
      </c>
      <c r="F18" s="1" t="s">
        <v>98</v>
      </c>
      <c r="G18" s="1">
        <v>3</v>
      </c>
      <c r="H18" s="118" t="s">
        <v>759</v>
      </c>
      <c r="I18" s="43" t="s">
        <v>522</v>
      </c>
      <c r="J18" s="1" t="s">
        <v>468</v>
      </c>
      <c r="K18" s="23" t="s">
        <v>469</v>
      </c>
      <c r="L18" s="1"/>
      <c r="M18" s="1"/>
      <c r="N18" s="1"/>
      <c r="O18" s="1"/>
      <c r="P18" s="6" t="b">
        <v>0</v>
      </c>
    </row>
    <row r="19" spans="1:16" x14ac:dyDescent="0.35">
      <c r="A19" s="4"/>
      <c r="B19" s="1"/>
      <c r="C19" s="1"/>
      <c r="D19" s="1"/>
      <c r="E19" s="1"/>
      <c r="F19" s="1"/>
      <c r="G19" s="1"/>
      <c r="H19" s="1"/>
      <c r="I19" s="43"/>
      <c r="J19" s="1"/>
      <c r="K19" s="1"/>
      <c r="L19" s="1"/>
      <c r="M19" s="1"/>
      <c r="N19" s="1"/>
      <c r="O19" s="1"/>
      <c r="P19" s="6" t="b">
        <v>0</v>
      </c>
    </row>
    <row r="20" spans="1:16" x14ac:dyDescent="0.35">
      <c r="A20" s="4" t="s">
        <v>457</v>
      </c>
      <c r="B20" s="99" t="s">
        <v>226</v>
      </c>
      <c r="C20" s="1" t="s">
        <v>470</v>
      </c>
      <c r="D20" s="1">
        <v>100</v>
      </c>
      <c r="E20" s="1" t="s">
        <v>85</v>
      </c>
      <c r="F20" s="1" t="s">
        <v>86</v>
      </c>
      <c r="G20" s="1">
        <v>3</v>
      </c>
      <c r="H20" s="1" t="s">
        <v>471</v>
      </c>
      <c r="I20" s="43" t="s">
        <v>522</v>
      </c>
      <c r="J20" s="1" t="s">
        <v>472</v>
      </c>
      <c r="K20" s="23" t="s">
        <v>462</v>
      </c>
      <c r="L20" s="23" t="s">
        <v>469</v>
      </c>
      <c r="M20" s="23" t="s">
        <v>466</v>
      </c>
      <c r="N20" s="1"/>
      <c r="O20" s="1"/>
      <c r="P20" s="6" t="b">
        <v>0</v>
      </c>
    </row>
    <row r="21" spans="1:16" x14ac:dyDescent="0.35">
      <c r="A21" s="4" t="s">
        <v>457</v>
      </c>
      <c r="B21" s="99" t="s">
        <v>226</v>
      </c>
      <c r="C21" s="1" t="s">
        <v>470</v>
      </c>
      <c r="D21" s="1">
        <v>100</v>
      </c>
      <c r="E21" s="1" t="s">
        <v>85</v>
      </c>
      <c r="F21" s="1" t="s">
        <v>98</v>
      </c>
      <c r="G21" s="1">
        <v>3</v>
      </c>
      <c r="H21" s="1" t="s">
        <v>471</v>
      </c>
      <c r="I21" s="43" t="s">
        <v>522</v>
      </c>
      <c r="J21" s="1" t="s">
        <v>472</v>
      </c>
      <c r="K21" s="23" t="s">
        <v>462</v>
      </c>
      <c r="L21" s="23" t="s">
        <v>469</v>
      </c>
      <c r="M21" s="23" t="s">
        <v>466</v>
      </c>
      <c r="N21" s="1"/>
      <c r="O21" s="1"/>
      <c r="P21" s="6" t="b">
        <v>0</v>
      </c>
    </row>
    <row r="22" spans="1:16" x14ac:dyDescent="0.35">
      <c r="A22" s="4" t="s">
        <v>457</v>
      </c>
      <c r="B22" s="99" t="s">
        <v>226</v>
      </c>
      <c r="C22" s="1" t="s">
        <v>470</v>
      </c>
      <c r="D22" s="1">
        <v>100</v>
      </c>
      <c r="E22" s="1" t="s">
        <v>91</v>
      </c>
      <c r="F22" s="1" t="s">
        <v>86</v>
      </c>
      <c r="G22" s="1">
        <v>3</v>
      </c>
      <c r="H22" s="1">
        <v>8</v>
      </c>
      <c r="I22" s="43" t="s">
        <v>522</v>
      </c>
      <c r="J22" s="1" t="s">
        <v>472</v>
      </c>
      <c r="K22" s="23" t="s">
        <v>462</v>
      </c>
      <c r="L22" s="23" t="s">
        <v>469</v>
      </c>
      <c r="M22" s="23" t="s">
        <v>466</v>
      </c>
      <c r="N22" s="1"/>
      <c r="O22" s="1"/>
      <c r="P22" s="6" t="b">
        <v>0</v>
      </c>
    </row>
    <row r="23" spans="1:16" x14ac:dyDescent="0.35">
      <c r="A23" s="4" t="s">
        <v>457</v>
      </c>
      <c r="B23" s="99" t="s">
        <v>226</v>
      </c>
      <c r="C23" s="1" t="s">
        <v>470</v>
      </c>
      <c r="D23" s="1">
        <v>100</v>
      </c>
      <c r="E23" s="1" t="s">
        <v>75</v>
      </c>
      <c r="F23" s="1" t="s">
        <v>86</v>
      </c>
      <c r="G23" s="1">
        <v>3</v>
      </c>
      <c r="H23" s="1">
        <v>8</v>
      </c>
      <c r="I23" s="43" t="s">
        <v>522</v>
      </c>
      <c r="J23" s="1" t="s">
        <v>472</v>
      </c>
      <c r="K23" s="23" t="s">
        <v>462</v>
      </c>
      <c r="L23" s="23" t="s">
        <v>469</v>
      </c>
      <c r="M23" s="23" t="s">
        <v>466</v>
      </c>
      <c r="N23" s="1"/>
      <c r="O23" s="1"/>
      <c r="P23" s="6" t="b">
        <v>0</v>
      </c>
    </row>
    <row r="24" spans="1:16" x14ac:dyDescent="0.35">
      <c r="A24" s="4"/>
      <c r="B24" s="1"/>
      <c r="C24" s="1"/>
      <c r="D24" s="1"/>
      <c r="E24" s="1"/>
      <c r="F24" s="1"/>
      <c r="G24" s="1"/>
      <c r="H24" s="1"/>
      <c r="I24" s="23"/>
      <c r="J24" s="1"/>
      <c r="K24" s="1"/>
      <c r="L24" s="1"/>
      <c r="M24" s="1"/>
      <c r="N24" s="1"/>
      <c r="O24" s="1"/>
      <c r="P24" s="6" t="b">
        <v>0</v>
      </c>
    </row>
    <row r="25" spans="1:16" x14ac:dyDescent="0.35">
      <c r="A25" s="4"/>
      <c r="B25" s="1"/>
      <c r="C25" s="1"/>
      <c r="D25" s="1"/>
      <c r="E25" s="1"/>
      <c r="F25" s="1"/>
      <c r="G25" s="1"/>
      <c r="H25" s="1"/>
      <c r="I25" s="23"/>
      <c r="J25" s="1"/>
      <c r="K25" s="1"/>
      <c r="L25" s="1"/>
      <c r="M25" s="1"/>
      <c r="N25" s="1"/>
      <c r="O25" s="1"/>
      <c r="P25" s="6" t="b">
        <v>0</v>
      </c>
    </row>
    <row r="26" spans="1:16" x14ac:dyDescent="0.35">
      <c r="A26" s="4"/>
      <c r="B26" s="1"/>
      <c r="C26" s="1"/>
      <c r="D26" s="1"/>
      <c r="E26" s="1"/>
      <c r="F26" s="1"/>
      <c r="G26" s="1"/>
      <c r="H26" s="1"/>
      <c r="I26" s="23"/>
      <c r="J26" s="1"/>
      <c r="K26" s="1"/>
      <c r="L26" s="1"/>
      <c r="M26" s="1"/>
      <c r="N26" s="1"/>
      <c r="O26" s="1"/>
      <c r="P26" s="6" t="b">
        <v>0</v>
      </c>
    </row>
    <row r="27" spans="1:16" x14ac:dyDescent="0.35">
      <c r="A27" s="4"/>
      <c r="B27" s="1"/>
      <c r="C27" s="1"/>
      <c r="D27" s="1"/>
      <c r="E27" s="1"/>
      <c r="F27" s="43"/>
      <c r="G27" s="1"/>
      <c r="H27" s="1"/>
      <c r="I27" s="1"/>
      <c r="J27" s="1"/>
      <c r="K27" s="1"/>
      <c r="L27" s="1"/>
      <c r="M27" s="1"/>
      <c r="N27" s="1"/>
      <c r="O27" s="1"/>
      <c r="P27" s="6" t="b">
        <v>0</v>
      </c>
    </row>
    <row r="28" spans="1:16" x14ac:dyDescent="0.3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6" t="b">
        <v>0</v>
      </c>
    </row>
    <row r="29" spans="1:16" x14ac:dyDescent="0.35">
      <c r="A29" s="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6" t="b">
        <v>0</v>
      </c>
    </row>
    <row r="30" spans="1:16" x14ac:dyDescent="0.35">
      <c r="A30" s="4"/>
      <c r="B30" s="1"/>
      <c r="C30" s="1"/>
      <c r="D30" s="1"/>
      <c r="E30" s="1"/>
      <c r="F30" s="1"/>
      <c r="G30" s="1"/>
      <c r="H30" s="1"/>
      <c r="I30" s="43"/>
      <c r="J30" s="1"/>
      <c r="K30" s="23"/>
      <c r="L30" s="1"/>
      <c r="M30" s="1"/>
      <c r="N30" s="1"/>
      <c r="O30" s="1"/>
      <c r="P30" s="6" t="b">
        <v>0</v>
      </c>
    </row>
    <row r="31" spans="1:16" x14ac:dyDescent="0.35">
      <c r="A31" s="4"/>
      <c r="B31" s="1"/>
      <c r="C31" s="1"/>
      <c r="D31" s="1"/>
      <c r="E31" s="1"/>
      <c r="F31" s="1"/>
      <c r="G31" s="1"/>
      <c r="H31" s="1"/>
      <c r="I31" s="43"/>
      <c r="J31" s="1"/>
      <c r="K31" s="23"/>
      <c r="L31" s="1"/>
      <c r="M31" s="1"/>
      <c r="N31" s="1"/>
      <c r="O31" s="1"/>
      <c r="P31" s="6" t="b">
        <v>0</v>
      </c>
    </row>
    <row r="32" spans="1:16" x14ac:dyDescent="0.35">
      <c r="A32" s="4"/>
      <c r="B32" s="1"/>
      <c r="C32" s="1"/>
      <c r="D32" s="1"/>
      <c r="E32" s="1"/>
      <c r="F32" s="1"/>
      <c r="G32" s="1"/>
      <c r="H32" s="1"/>
      <c r="I32" s="43"/>
      <c r="J32" s="1"/>
      <c r="K32" s="23"/>
      <c r="L32" s="1"/>
      <c r="M32" s="1"/>
      <c r="N32" s="1"/>
      <c r="O32" s="1"/>
      <c r="P32" s="6" t="b">
        <v>0</v>
      </c>
    </row>
    <row r="33" spans="1:16" x14ac:dyDescent="0.35">
      <c r="A33" s="4"/>
      <c r="B33" s="1"/>
      <c r="C33" s="1"/>
      <c r="D33" s="1"/>
      <c r="E33" s="1"/>
      <c r="F33" s="1"/>
      <c r="G33" s="1"/>
      <c r="H33" s="1"/>
      <c r="I33" s="43"/>
      <c r="J33" s="1"/>
      <c r="K33" s="1"/>
      <c r="L33" s="1"/>
      <c r="M33" s="1"/>
      <c r="N33" s="1"/>
      <c r="O33" s="1"/>
      <c r="P33" s="6" t="b">
        <v>0</v>
      </c>
    </row>
    <row r="34" spans="1:16" x14ac:dyDescent="0.35">
      <c r="A34" s="4"/>
      <c r="B34" s="1"/>
      <c r="C34" s="1"/>
      <c r="D34" s="1"/>
      <c r="E34" s="1"/>
      <c r="F34" s="43"/>
      <c r="G34" s="1"/>
      <c r="H34" s="1"/>
      <c r="I34" s="43"/>
      <c r="J34" s="1"/>
      <c r="K34" s="23"/>
      <c r="L34" s="23"/>
      <c r="M34" s="1"/>
      <c r="N34" s="1"/>
      <c r="O34" s="1"/>
      <c r="P34" s="6" t="b">
        <v>0</v>
      </c>
    </row>
    <row r="35" spans="1:16" x14ac:dyDescent="0.35">
      <c r="A35" s="4"/>
      <c r="B35" s="1"/>
      <c r="C35" s="1"/>
      <c r="D35" s="1"/>
      <c r="E35" s="1"/>
      <c r="F35" s="1"/>
      <c r="G35" s="1"/>
      <c r="H35" s="1"/>
      <c r="I35" s="43"/>
      <c r="J35" s="1"/>
      <c r="K35" s="23"/>
      <c r="L35" s="23"/>
      <c r="M35" s="1"/>
      <c r="N35" s="1"/>
      <c r="O35" s="1"/>
      <c r="P35" s="6" t="b">
        <v>0</v>
      </c>
    </row>
    <row r="36" spans="1:16" x14ac:dyDescent="0.35">
      <c r="A36" s="4"/>
      <c r="B36" s="1"/>
      <c r="C36" s="1"/>
      <c r="D36" s="1"/>
      <c r="E36" s="1"/>
      <c r="F36" s="1"/>
      <c r="G36" s="1"/>
      <c r="H36" s="1"/>
      <c r="I36" s="43"/>
      <c r="J36" s="1"/>
      <c r="K36" s="23"/>
      <c r="L36" s="23"/>
      <c r="M36" s="1"/>
      <c r="N36" s="1"/>
      <c r="O36" s="1"/>
      <c r="P36" s="6" t="b">
        <v>0</v>
      </c>
    </row>
    <row r="37" spans="1:16" x14ac:dyDescent="0.35">
      <c r="A37" s="4"/>
      <c r="B37" s="1"/>
      <c r="C37" s="1"/>
      <c r="D37" s="1"/>
      <c r="E37" s="1"/>
      <c r="F37" s="1"/>
      <c r="G37" s="1"/>
      <c r="H37" s="1"/>
      <c r="I37" s="43"/>
      <c r="J37" s="1"/>
      <c r="K37" s="23"/>
      <c r="L37" s="23"/>
      <c r="M37" s="1"/>
      <c r="N37" s="1"/>
      <c r="O37" s="1"/>
      <c r="P37" s="6" t="b">
        <v>0</v>
      </c>
    </row>
    <row r="38" spans="1:16" x14ac:dyDescent="0.35">
      <c r="A38" s="4"/>
      <c r="B38" s="1"/>
      <c r="C38" s="1"/>
      <c r="D38" s="1"/>
      <c r="E38" s="1"/>
      <c r="F38" s="1"/>
      <c r="G38" s="1"/>
      <c r="H38" s="1"/>
      <c r="I38" s="43"/>
      <c r="J38" s="1"/>
      <c r="K38" s="23"/>
      <c r="L38" s="23"/>
      <c r="M38" s="1"/>
      <c r="N38" s="1"/>
      <c r="O38" s="1"/>
      <c r="P38" s="6" t="b">
        <v>0</v>
      </c>
    </row>
    <row r="39" spans="1:16" x14ac:dyDescent="0.35">
      <c r="A39" s="4"/>
      <c r="B39" s="1"/>
      <c r="C39" s="1"/>
      <c r="D39" s="1"/>
      <c r="E39" s="1"/>
      <c r="F39" s="1"/>
      <c r="G39" s="1"/>
      <c r="H39" s="1"/>
      <c r="I39" s="43"/>
      <c r="J39" s="1"/>
      <c r="K39" s="1"/>
      <c r="L39" s="1"/>
      <c r="M39" s="1"/>
      <c r="N39" s="1"/>
      <c r="O39" s="1"/>
      <c r="P39" s="6" t="b">
        <v>0</v>
      </c>
    </row>
    <row r="40" spans="1:16" x14ac:dyDescent="0.35">
      <c r="A40" s="4"/>
      <c r="B40" s="1"/>
      <c r="C40" s="1"/>
      <c r="D40" s="1"/>
      <c r="E40" s="1"/>
      <c r="F40" s="1"/>
      <c r="G40" s="1"/>
      <c r="H40" s="1"/>
      <c r="I40" s="43"/>
      <c r="J40" s="1"/>
      <c r="K40" s="23"/>
      <c r="L40" s="1"/>
      <c r="M40" s="1"/>
      <c r="N40" s="1"/>
      <c r="O40" s="1"/>
      <c r="P40" s="6" t="b">
        <v>0</v>
      </c>
    </row>
    <row r="41" spans="1:16" x14ac:dyDescent="0.35">
      <c r="A41" s="4"/>
      <c r="B41" s="1"/>
      <c r="C41" s="1"/>
      <c r="D41" s="1"/>
      <c r="E41" s="1"/>
      <c r="F41" s="1"/>
      <c r="G41" s="1"/>
      <c r="H41" s="1"/>
      <c r="I41" s="43"/>
      <c r="J41" s="1"/>
      <c r="K41" s="23"/>
      <c r="L41" s="1"/>
      <c r="M41" s="1"/>
      <c r="N41" s="1"/>
      <c r="O41" s="1"/>
      <c r="P41" s="6" t="b">
        <v>0</v>
      </c>
    </row>
    <row r="42" spans="1:16" x14ac:dyDescent="0.35">
      <c r="A42" s="4"/>
      <c r="B42" s="1"/>
      <c r="C42" s="1"/>
      <c r="D42" s="1"/>
      <c r="E42" s="1"/>
      <c r="F42" s="1"/>
      <c r="G42" s="1"/>
      <c r="H42" s="1"/>
      <c r="I42" s="43"/>
      <c r="J42" s="1"/>
      <c r="K42" s="23"/>
      <c r="L42" s="1"/>
      <c r="M42" s="1"/>
      <c r="N42" s="1"/>
      <c r="O42" s="1"/>
      <c r="P42" s="6" t="b">
        <v>0</v>
      </c>
    </row>
    <row r="43" spans="1:16" x14ac:dyDescent="0.35">
      <c r="A43" s="4"/>
      <c r="B43" s="1"/>
      <c r="C43" s="1"/>
      <c r="D43" s="1"/>
      <c r="E43" s="1"/>
      <c r="F43" s="1"/>
      <c r="G43" s="1"/>
      <c r="H43" s="1"/>
      <c r="I43" s="43"/>
      <c r="J43" s="1"/>
      <c r="K43" s="1"/>
      <c r="L43" s="1"/>
      <c r="M43" s="1"/>
      <c r="N43" s="1"/>
      <c r="O43" s="1"/>
      <c r="P43" s="6" t="b">
        <v>0</v>
      </c>
    </row>
    <row r="44" spans="1:16" x14ac:dyDescent="0.35">
      <c r="A44" s="4"/>
      <c r="B44" s="1"/>
      <c r="C44" s="1"/>
      <c r="D44" s="1"/>
      <c r="E44" s="1"/>
      <c r="F44" s="1"/>
      <c r="G44" s="1"/>
      <c r="H44" s="1"/>
      <c r="I44" s="43"/>
      <c r="J44" s="1"/>
      <c r="K44" s="23"/>
      <c r="L44" s="23"/>
      <c r="M44" s="23"/>
      <c r="N44" s="1"/>
      <c r="O44" s="1"/>
      <c r="P44" s="6" t="b">
        <v>0</v>
      </c>
    </row>
    <row r="45" spans="1:16" x14ac:dyDescent="0.35">
      <c r="A45" s="4"/>
      <c r="B45" s="1"/>
      <c r="C45" s="1"/>
      <c r="D45" s="1"/>
      <c r="E45" s="1"/>
      <c r="F45" s="1"/>
      <c r="G45" s="1"/>
      <c r="H45" s="1"/>
      <c r="I45" s="43"/>
      <c r="J45" s="1"/>
      <c r="K45" s="23"/>
      <c r="L45" s="23"/>
      <c r="M45" s="23"/>
      <c r="N45" s="1"/>
      <c r="O45" s="1"/>
      <c r="P45" s="6" t="b">
        <v>0</v>
      </c>
    </row>
    <row r="46" spans="1:16" x14ac:dyDescent="0.35">
      <c r="A46" s="4"/>
      <c r="B46" s="1"/>
      <c r="C46" s="1"/>
      <c r="D46" s="1"/>
      <c r="E46" s="1"/>
      <c r="F46" s="1"/>
      <c r="G46" s="1"/>
      <c r="H46" s="1"/>
      <c r="I46" s="43"/>
      <c r="J46" s="1"/>
      <c r="K46" s="23"/>
      <c r="L46" s="23"/>
      <c r="M46" s="23"/>
      <c r="N46" s="1"/>
      <c r="O46" s="1"/>
      <c r="P46" s="6" t="b">
        <v>0</v>
      </c>
    </row>
    <row r="47" spans="1:16" x14ac:dyDescent="0.35">
      <c r="A47" s="4"/>
      <c r="B47" s="1"/>
      <c r="C47" s="1"/>
      <c r="D47" s="1"/>
      <c r="E47" s="1"/>
      <c r="F47" s="1"/>
      <c r="G47" s="1"/>
      <c r="H47" s="1"/>
      <c r="I47" s="43"/>
      <c r="J47" s="1"/>
      <c r="K47" s="23"/>
      <c r="L47" s="23"/>
      <c r="M47" s="23"/>
      <c r="N47" s="1"/>
      <c r="O47" s="1"/>
      <c r="P47" s="6" t="b">
        <v>0</v>
      </c>
    </row>
    <row r="48" spans="1:16" x14ac:dyDescent="0.35">
      <c r="C48" s="1"/>
      <c r="D48" s="1"/>
      <c r="E48" s="1"/>
      <c r="F48" s="1"/>
      <c r="G48" s="1"/>
      <c r="J48" s="1"/>
      <c r="K48" s="1"/>
      <c r="L48" s="1"/>
      <c r="M48" s="1"/>
      <c r="N48" s="1"/>
      <c r="O48" s="1"/>
      <c r="P48" s="6" t="b">
        <v>0</v>
      </c>
    </row>
    <row r="49" spans="3:16" x14ac:dyDescent="0.35">
      <c r="C49" s="1"/>
      <c r="D49" s="1"/>
      <c r="E49" s="1"/>
      <c r="F49" s="1"/>
      <c r="G49" s="1"/>
      <c r="J49" s="1"/>
      <c r="K49" s="1"/>
      <c r="L49" s="1"/>
      <c r="M49" s="1"/>
      <c r="N49" s="1"/>
      <c r="O49" s="1"/>
      <c r="P49" s="6" t="b">
        <v>0</v>
      </c>
    </row>
    <row r="50" spans="3:16" x14ac:dyDescent="0.35">
      <c r="C50" s="1"/>
      <c r="D50" s="1"/>
      <c r="E50" s="1"/>
      <c r="F50" s="1"/>
      <c r="G50" s="1"/>
      <c r="J50" s="1"/>
      <c r="K50" s="1"/>
      <c r="L50" s="1"/>
      <c r="M50" s="1"/>
      <c r="N50" s="1"/>
      <c r="O50" s="1"/>
      <c r="P50" s="6" t="b">
        <v>0</v>
      </c>
    </row>
    <row r="51" spans="3:16" x14ac:dyDescent="0.35">
      <c r="C51" s="1"/>
      <c r="D51" s="1"/>
      <c r="E51" s="1"/>
      <c r="F51" s="1"/>
      <c r="G51" s="1"/>
      <c r="J51" s="1"/>
      <c r="K51" s="1"/>
      <c r="L51" s="1"/>
      <c r="M51" s="1"/>
      <c r="N51" s="1"/>
      <c r="O51" s="1"/>
      <c r="P51" s="6" t="b">
        <v>0</v>
      </c>
    </row>
    <row r="52" spans="3:16" x14ac:dyDescent="0.35">
      <c r="C52" s="1"/>
      <c r="D52" s="1"/>
      <c r="E52" s="1"/>
      <c r="F52" s="1"/>
      <c r="G52" s="1"/>
      <c r="J52" s="1"/>
      <c r="N52" s="1"/>
      <c r="P52" s="6" t="b">
        <v>0</v>
      </c>
    </row>
    <row r="53" spans="3:16" x14ac:dyDescent="0.35">
      <c r="C53" s="1"/>
      <c r="D53" s="1"/>
      <c r="E53" s="1"/>
      <c r="F53" s="1"/>
      <c r="G53" s="1"/>
      <c r="J53" s="1"/>
      <c r="N53" s="1"/>
      <c r="P53" s="6" t="b">
        <v>0</v>
      </c>
    </row>
    <row r="54" spans="3:16" x14ac:dyDescent="0.35">
      <c r="C54" s="1"/>
      <c r="D54" s="1"/>
      <c r="E54" s="1"/>
      <c r="F54" s="1"/>
      <c r="G54" s="1"/>
      <c r="J54" s="1"/>
      <c r="N54" s="1"/>
      <c r="P54" s="6" t="b">
        <v>0</v>
      </c>
    </row>
    <row r="55" spans="3:16" x14ac:dyDescent="0.35">
      <c r="E55" s="1"/>
      <c r="F55" s="1"/>
      <c r="G55" s="1"/>
      <c r="J55" s="1"/>
      <c r="N55" s="1"/>
      <c r="P55" s="6" t="b">
        <v>0</v>
      </c>
    </row>
    <row r="56" spans="3:16" x14ac:dyDescent="0.35">
      <c r="E56" s="1"/>
      <c r="F56" s="1"/>
      <c r="G56" s="1"/>
      <c r="J56" s="1"/>
      <c r="N56" s="1"/>
      <c r="P56" s="6" t="b">
        <v>0</v>
      </c>
    </row>
    <row r="57" spans="3:16" x14ac:dyDescent="0.35">
      <c r="E57" s="1"/>
      <c r="F57" s="1"/>
      <c r="G57" s="1"/>
      <c r="J57" s="1"/>
      <c r="N57" s="1"/>
      <c r="P57" s="6" t="b">
        <v>0</v>
      </c>
    </row>
    <row r="58" spans="3:16" x14ac:dyDescent="0.35">
      <c r="E58" s="1"/>
      <c r="F58" s="1"/>
      <c r="G58" s="1"/>
      <c r="J58" s="1"/>
      <c r="N58" s="1"/>
      <c r="P58" s="6" t="b">
        <v>0</v>
      </c>
    </row>
    <row r="59" spans="3:16" x14ac:dyDescent="0.35">
      <c r="F59" s="1"/>
      <c r="G59" s="1"/>
      <c r="J59" s="1"/>
      <c r="N59" s="1"/>
      <c r="P59" s="6" t="b">
        <v>0</v>
      </c>
    </row>
    <row r="60" spans="3:16" x14ac:dyDescent="0.35">
      <c r="F60" s="1"/>
      <c r="G60" s="1"/>
      <c r="J60" s="1"/>
      <c r="N60" s="1"/>
      <c r="P60" s="6" t="b">
        <v>0</v>
      </c>
    </row>
    <row r="61" spans="3:16" x14ac:dyDescent="0.35">
      <c r="F61" s="1"/>
      <c r="G61" s="1"/>
      <c r="J61" s="1"/>
      <c r="N61" s="1"/>
      <c r="P61" s="6" t="b">
        <v>0</v>
      </c>
    </row>
    <row r="62" spans="3:16" x14ac:dyDescent="0.35">
      <c r="F62" s="1"/>
      <c r="G62" s="1"/>
      <c r="J62" s="1"/>
      <c r="N62" s="1"/>
      <c r="P62" s="6" t="b">
        <v>0</v>
      </c>
    </row>
    <row r="63" spans="3:16" x14ac:dyDescent="0.35">
      <c r="F63" s="1"/>
      <c r="G63" s="1"/>
      <c r="J63" s="1"/>
      <c r="N63" s="1"/>
      <c r="P63" s="6" t="b">
        <v>0</v>
      </c>
    </row>
    <row r="64" spans="3:16" x14ac:dyDescent="0.35">
      <c r="F64" s="1"/>
      <c r="G64" s="1"/>
      <c r="J64" s="1"/>
      <c r="N64" s="1"/>
      <c r="P64" s="6" t="b">
        <v>0</v>
      </c>
    </row>
    <row r="65" spans="6:16" x14ac:dyDescent="0.35">
      <c r="F65" s="1"/>
      <c r="G65" s="1"/>
      <c r="J65" s="1"/>
      <c r="N65" s="1"/>
      <c r="P65" s="6" t="b">
        <v>0</v>
      </c>
    </row>
    <row r="66" spans="6:16" x14ac:dyDescent="0.35">
      <c r="F66" s="1"/>
      <c r="G66" s="1"/>
      <c r="J66" s="1"/>
      <c r="N66" s="1"/>
      <c r="P66" s="6" t="b">
        <v>0</v>
      </c>
    </row>
    <row r="67" spans="6:16" x14ac:dyDescent="0.35">
      <c r="F67" s="1"/>
      <c r="G67" s="1"/>
      <c r="J67" s="1"/>
      <c r="N67" s="1"/>
      <c r="P67" s="6" t="b">
        <v>0</v>
      </c>
    </row>
    <row r="68" spans="6:16" x14ac:dyDescent="0.35">
      <c r="F68" s="1"/>
      <c r="G68" s="1"/>
      <c r="J68" s="1"/>
      <c r="N68" s="1"/>
      <c r="P68" s="6" t="b">
        <v>0</v>
      </c>
    </row>
    <row r="69" spans="6:16" x14ac:dyDescent="0.35">
      <c r="F69" s="1"/>
      <c r="G69" s="1"/>
      <c r="J69" s="1"/>
      <c r="N69" s="1"/>
      <c r="P69" s="6" t="b">
        <v>0</v>
      </c>
    </row>
    <row r="70" spans="6:16" x14ac:dyDescent="0.35">
      <c r="F70" s="1"/>
      <c r="G70" s="1"/>
      <c r="J70" s="1"/>
      <c r="N70" s="1"/>
      <c r="P70" s="6" t="b">
        <v>0</v>
      </c>
    </row>
    <row r="71" spans="6:16" x14ac:dyDescent="0.35">
      <c r="F71" s="1"/>
      <c r="G71" s="1"/>
      <c r="J71" s="1"/>
      <c r="N71" s="1"/>
      <c r="P71" s="6" t="b">
        <v>0</v>
      </c>
    </row>
    <row r="72" spans="6:16" x14ac:dyDescent="0.35">
      <c r="F72" s="1"/>
      <c r="G72" s="1"/>
      <c r="J72" s="1"/>
      <c r="N72" s="1"/>
      <c r="P72" s="6" t="b">
        <v>0</v>
      </c>
    </row>
    <row r="73" spans="6:16" x14ac:dyDescent="0.35">
      <c r="F73" s="1"/>
      <c r="G73" s="1"/>
      <c r="J73" s="1"/>
      <c r="N73" s="1"/>
      <c r="P73" s="6" t="b">
        <v>0</v>
      </c>
    </row>
    <row r="74" spans="6:16" x14ac:dyDescent="0.35">
      <c r="F74" s="1"/>
      <c r="G74" s="1"/>
      <c r="J74" s="1"/>
      <c r="N74" s="1"/>
      <c r="P74" s="6" t="b">
        <v>0</v>
      </c>
    </row>
    <row r="75" spans="6:16" x14ac:dyDescent="0.35">
      <c r="F75" s="1"/>
      <c r="G75" s="1"/>
      <c r="J75" s="1"/>
      <c r="N75" s="1"/>
      <c r="P75" s="6" t="b">
        <v>0</v>
      </c>
    </row>
    <row r="76" spans="6:16" x14ac:dyDescent="0.35">
      <c r="F76" s="1"/>
      <c r="G76" s="1"/>
      <c r="J76" s="1"/>
      <c r="N76" s="1"/>
      <c r="P76" s="6" t="b">
        <v>0</v>
      </c>
    </row>
    <row r="77" spans="6:16" x14ac:dyDescent="0.35">
      <c r="F77" s="1"/>
      <c r="G77" s="1"/>
      <c r="J77" s="1"/>
      <c r="N77" s="1"/>
      <c r="P77" s="6" t="b">
        <v>0</v>
      </c>
    </row>
    <row r="78" spans="6:16" x14ac:dyDescent="0.35">
      <c r="F78" s="1"/>
      <c r="G78" s="1"/>
      <c r="J78" s="1"/>
      <c r="N78" s="1"/>
      <c r="P78" s="6" t="b">
        <v>0</v>
      </c>
    </row>
    <row r="79" spans="6:16" x14ac:dyDescent="0.35">
      <c r="F79" s="1"/>
      <c r="G79" s="1"/>
      <c r="J79" s="1"/>
      <c r="N79" s="1"/>
      <c r="P79" s="6" t="b">
        <v>0</v>
      </c>
    </row>
    <row r="80" spans="6:16" x14ac:dyDescent="0.35">
      <c r="F80" s="1"/>
      <c r="G80" s="1"/>
      <c r="J80" s="1"/>
      <c r="N80" s="1"/>
      <c r="P80" s="6" t="b">
        <v>0</v>
      </c>
    </row>
    <row r="81" spans="6:16" x14ac:dyDescent="0.35">
      <c r="F81" s="1"/>
      <c r="G81" s="1"/>
      <c r="J81" s="1"/>
      <c r="N81" s="1"/>
      <c r="P81" s="6" t="b">
        <v>0</v>
      </c>
    </row>
    <row r="82" spans="6:16" x14ac:dyDescent="0.35">
      <c r="F82" s="1"/>
      <c r="G82" s="1"/>
      <c r="J82" s="1"/>
      <c r="N82" s="1"/>
      <c r="P82" s="6" t="b">
        <v>0</v>
      </c>
    </row>
    <row r="83" spans="6:16" x14ac:dyDescent="0.35">
      <c r="F83" s="1"/>
      <c r="G83" s="1"/>
      <c r="J83" s="1"/>
      <c r="N83" s="1"/>
      <c r="P83" s="6" t="b">
        <v>0</v>
      </c>
    </row>
    <row r="84" spans="6:16" x14ac:dyDescent="0.35">
      <c r="F84" s="1"/>
      <c r="G84" s="1"/>
      <c r="J84" s="1"/>
      <c r="N84" s="1"/>
      <c r="P84" s="6" t="b">
        <v>0</v>
      </c>
    </row>
    <row r="85" spans="6:16" x14ac:dyDescent="0.35">
      <c r="F85" s="1"/>
      <c r="G85" s="1"/>
      <c r="J85" s="1"/>
      <c r="N85" s="1"/>
      <c r="P85" s="6" t="b">
        <v>0</v>
      </c>
    </row>
    <row r="86" spans="6:16" x14ac:dyDescent="0.35">
      <c r="F86" s="1"/>
      <c r="G86" s="1"/>
      <c r="J86" s="1"/>
      <c r="N86" s="1"/>
      <c r="P86" s="6" t="b">
        <v>0</v>
      </c>
    </row>
    <row r="87" spans="6:16" x14ac:dyDescent="0.35">
      <c r="F87" s="1"/>
      <c r="G87" s="1"/>
      <c r="J87" s="1"/>
      <c r="N87" s="1"/>
      <c r="P87" s="6" t="b">
        <v>0</v>
      </c>
    </row>
    <row r="88" spans="6:16" x14ac:dyDescent="0.35">
      <c r="F88" s="1"/>
      <c r="G88" s="1"/>
      <c r="J88" s="1"/>
      <c r="N88" s="1"/>
      <c r="P88" s="6" t="b">
        <v>0</v>
      </c>
    </row>
    <row r="89" spans="6:16" x14ac:dyDescent="0.35">
      <c r="F89" s="1"/>
      <c r="G89" s="1"/>
      <c r="J89" s="1"/>
      <c r="N89" s="1"/>
      <c r="P89" s="6" t="b">
        <v>0</v>
      </c>
    </row>
    <row r="90" spans="6:16" x14ac:dyDescent="0.35">
      <c r="F90" s="1"/>
      <c r="G90" s="1"/>
      <c r="J90" s="1"/>
      <c r="N90" s="1"/>
      <c r="P90" s="6" t="b">
        <v>0</v>
      </c>
    </row>
    <row r="91" spans="6:16" x14ac:dyDescent="0.35">
      <c r="F91" s="1"/>
      <c r="G91" s="1"/>
      <c r="J91" s="1"/>
      <c r="N91" s="1"/>
      <c r="P91" s="6" t="b">
        <v>0</v>
      </c>
    </row>
    <row r="92" spans="6:16" x14ac:dyDescent="0.35">
      <c r="F92" s="1"/>
      <c r="G92" s="1"/>
      <c r="J92" s="1"/>
      <c r="N92" s="1"/>
      <c r="P92" s="6" t="b">
        <v>0</v>
      </c>
    </row>
    <row r="93" spans="6:16" x14ac:dyDescent="0.35">
      <c r="F93" s="1"/>
      <c r="G93" s="1"/>
      <c r="J93" s="1"/>
      <c r="N93" s="1"/>
      <c r="P93" s="6" t="b">
        <v>0</v>
      </c>
    </row>
    <row r="94" spans="6:16" x14ac:dyDescent="0.35">
      <c r="F94" s="1"/>
      <c r="G94" s="1"/>
      <c r="J94" s="1"/>
      <c r="N94" s="1"/>
      <c r="P94" s="6" t="b">
        <v>0</v>
      </c>
    </row>
    <row r="95" spans="6:16" x14ac:dyDescent="0.35">
      <c r="F95" s="1"/>
      <c r="G95" s="1"/>
      <c r="J95" s="1"/>
      <c r="N95" s="1"/>
      <c r="P95" s="6" t="b">
        <v>0</v>
      </c>
    </row>
    <row r="96" spans="6:16" x14ac:dyDescent="0.35">
      <c r="F96" s="1"/>
      <c r="G96" s="1"/>
      <c r="J96" s="1"/>
      <c r="N96" s="1"/>
      <c r="P96" s="6" t="b">
        <v>0</v>
      </c>
    </row>
    <row r="97" spans="6:16" x14ac:dyDescent="0.35">
      <c r="F97" s="1"/>
      <c r="G97" s="1"/>
      <c r="J97" s="1"/>
      <c r="N97" s="1"/>
      <c r="P97" s="6" t="b">
        <v>0</v>
      </c>
    </row>
    <row r="98" spans="6:16" x14ac:dyDescent="0.35">
      <c r="F98" s="1"/>
      <c r="G98" s="1"/>
      <c r="J98" s="1"/>
      <c r="N98" s="1"/>
      <c r="P98" s="6" t="b">
        <v>0</v>
      </c>
    </row>
    <row r="99" spans="6:16" x14ac:dyDescent="0.35">
      <c r="F99" s="1"/>
      <c r="G99" s="1"/>
      <c r="J99" s="1"/>
      <c r="N99" s="1"/>
      <c r="P99" s="6" t="b">
        <v>0</v>
      </c>
    </row>
    <row r="100" spans="6:16" x14ac:dyDescent="0.35">
      <c r="F100" s="1"/>
      <c r="G100" s="1"/>
      <c r="J100" s="1"/>
      <c r="N100" s="1"/>
      <c r="P100" s="6" t="b">
        <v>0</v>
      </c>
    </row>
    <row r="101" spans="6:16" x14ac:dyDescent="0.35">
      <c r="F101" s="1"/>
      <c r="G101" s="1"/>
      <c r="J101" s="1"/>
      <c r="N101" s="1"/>
      <c r="P101" s="6" t="b">
        <v>0</v>
      </c>
    </row>
    <row r="102" spans="6:16" x14ac:dyDescent="0.35">
      <c r="F102" s="1"/>
      <c r="G102" s="1"/>
      <c r="J102" s="1"/>
      <c r="N102" s="1"/>
      <c r="P102" s="6" t="b">
        <v>0</v>
      </c>
    </row>
    <row r="103" spans="6:16" x14ac:dyDescent="0.35">
      <c r="F103" s="1"/>
      <c r="G103" s="1"/>
      <c r="J103" s="1"/>
      <c r="N103" s="1"/>
      <c r="P103" s="6" t="b">
        <v>0</v>
      </c>
    </row>
    <row r="104" spans="6:16" x14ac:dyDescent="0.35">
      <c r="F104" s="1"/>
      <c r="G104" s="1"/>
      <c r="J104" s="1"/>
      <c r="N104" s="1"/>
      <c r="P104" s="6" t="b">
        <v>0</v>
      </c>
    </row>
    <row r="105" spans="6:16" x14ac:dyDescent="0.35">
      <c r="F105" s="1"/>
      <c r="G105" s="1"/>
      <c r="J105" s="1"/>
      <c r="N105" s="1"/>
      <c r="P105" s="6" t="b">
        <v>0</v>
      </c>
    </row>
    <row r="106" spans="6:16" x14ac:dyDescent="0.35">
      <c r="F106" s="1"/>
      <c r="G106" s="1"/>
      <c r="J106" s="1"/>
      <c r="N106" s="1"/>
      <c r="P106" s="6" t="b">
        <v>0</v>
      </c>
    </row>
    <row r="107" spans="6:16" x14ac:dyDescent="0.35">
      <c r="F107" s="1"/>
      <c r="G107" s="1"/>
      <c r="J107" s="1"/>
      <c r="N107" s="1"/>
      <c r="P107" s="6" t="b">
        <v>0</v>
      </c>
    </row>
    <row r="108" spans="6:16" x14ac:dyDescent="0.35">
      <c r="F108" s="1"/>
      <c r="G108" s="1"/>
      <c r="J108" s="1"/>
      <c r="N108" s="1"/>
      <c r="P108" s="6" t="b">
        <v>0</v>
      </c>
    </row>
    <row r="109" spans="6:16" x14ac:dyDescent="0.35">
      <c r="F109" s="1"/>
      <c r="G109" s="1"/>
      <c r="J109" s="1"/>
      <c r="N109" s="1"/>
      <c r="P109" s="6" t="b">
        <v>0</v>
      </c>
    </row>
    <row r="110" spans="6:16" x14ac:dyDescent="0.35">
      <c r="F110" s="1"/>
      <c r="G110" s="1"/>
      <c r="J110" s="1"/>
      <c r="N110" s="1"/>
      <c r="P110" s="6" t="b">
        <v>0</v>
      </c>
    </row>
    <row r="111" spans="6:16" x14ac:dyDescent="0.35">
      <c r="F111" s="1"/>
      <c r="G111" s="1"/>
      <c r="J111" s="1"/>
      <c r="N111" s="1"/>
      <c r="P111" s="6" t="b">
        <v>0</v>
      </c>
    </row>
    <row r="112" spans="6:16" x14ac:dyDescent="0.35">
      <c r="F112" s="1"/>
      <c r="G112" s="1"/>
      <c r="J112" s="1"/>
      <c r="N112" s="1"/>
      <c r="P112" s="6" t="b">
        <v>0</v>
      </c>
    </row>
    <row r="113" spans="6:16" x14ac:dyDescent="0.35">
      <c r="F113" s="1"/>
      <c r="G113" s="1"/>
      <c r="J113" s="1"/>
      <c r="N113" s="1"/>
      <c r="P113" s="6" t="b">
        <v>0</v>
      </c>
    </row>
    <row r="114" spans="6:16" x14ac:dyDescent="0.35">
      <c r="F114" s="1"/>
      <c r="G114" s="1"/>
      <c r="J114" s="1"/>
      <c r="N114" s="1"/>
      <c r="P114" s="6" t="b">
        <v>0</v>
      </c>
    </row>
    <row r="115" spans="6:16" x14ac:dyDescent="0.35">
      <c r="F115" s="1"/>
      <c r="G115" s="1"/>
      <c r="J115" s="1"/>
      <c r="N115" s="1"/>
      <c r="P115" s="6" t="b">
        <v>0</v>
      </c>
    </row>
    <row r="116" spans="6:16" x14ac:dyDescent="0.35">
      <c r="F116" s="1"/>
      <c r="G116" s="1"/>
      <c r="J116" s="1"/>
      <c r="N116" s="1"/>
      <c r="P116" s="6" t="b">
        <v>0</v>
      </c>
    </row>
    <row r="117" spans="6:16" x14ac:dyDescent="0.35">
      <c r="F117" s="1"/>
      <c r="G117" s="1"/>
      <c r="J117" s="1"/>
      <c r="N117" s="1"/>
      <c r="P117" s="6" t="b">
        <v>0</v>
      </c>
    </row>
    <row r="118" spans="6:16" x14ac:dyDescent="0.35">
      <c r="F118" s="1"/>
      <c r="G118" s="1"/>
      <c r="J118" s="1"/>
      <c r="N118" s="1"/>
      <c r="P118" s="6" t="b">
        <v>0</v>
      </c>
    </row>
    <row r="119" spans="6:16" x14ac:dyDescent="0.35">
      <c r="F119" s="1"/>
      <c r="G119" s="1"/>
      <c r="J119" s="1"/>
      <c r="N119" s="1"/>
      <c r="P119" s="6" t="b">
        <v>0</v>
      </c>
    </row>
    <row r="120" spans="6:16" x14ac:dyDescent="0.35">
      <c r="F120" s="1"/>
      <c r="G120" s="1"/>
      <c r="J120" s="1"/>
      <c r="N120" s="1"/>
      <c r="P120" s="6" t="b">
        <v>0</v>
      </c>
    </row>
    <row r="121" spans="6:16" x14ac:dyDescent="0.35">
      <c r="G121" s="1"/>
      <c r="J121" s="1"/>
      <c r="N121" s="1"/>
      <c r="P121" s="6" t="b">
        <v>0</v>
      </c>
    </row>
    <row r="122" spans="6:16" x14ac:dyDescent="0.35">
      <c r="G122" s="1"/>
      <c r="J122" s="1"/>
      <c r="N122" s="1"/>
      <c r="P122" s="6" t="b">
        <v>0</v>
      </c>
    </row>
    <row r="123" spans="6:16" x14ac:dyDescent="0.35">
      <c r="G123" s="1"/>
      <c r="J123" s="1"/>
      <c r="N123" s="1"/>
      <c r="P123" s="6" t="b">
        <v>0</v>
      </c>
    </row>
    <row r="124" spans="6:16" x14ac:dyDescent="0.35">
      <c r="G124" s="1"/>
      <c r="J124" s="1"/>
      <c r="N124" s="1"/>
      <c r="P124" s="6" t="b">
        <v>0</v>
      </c>
    </row>
    <row r="125" spans="6:16" x14ac:dyDescent="0.35">
      <c r="G125" s="1"/>
      <c r="J125" s="1"/>
      <c r="N125" s="1"/>
      <c r="P125" s="6" t="b">
        <v>0</v>
      </c>
    </row>
  </sheetData>
  <autoFilter ref="A2:Q125" xr:uid="{B5C5A4EA-CB08-48D0-BBB2-08D4F4910737}"/>
  <dataValidations count="2">
    <dataValidation type="list" allowBlank="1" showInputMessage="1" showErrorMessage="1" sqref="J126:J1048576" xr:uid="{648B39EC-64E6-4294-AA3E-46384ECF4D93}">
      <formula1>$B$3:$B$356</formula1>
    </dataValidation>
    <dataValidation type="list" allowBlank="1" showInputMessage="1" showErrorMessage="1" sqref="O49:O122 N126:O1048576" xr:uid="{41662654-14A7-4903-B352-CFF54E198F13}">
      <formula1>#REF!</formula1>
    </dataValidation>
  </dataValidation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FB827-D89D-4F0E-9BBE-296831F43A1D}">
  <dimension ref="A1:S155"/>
  <sheetViews>
    <sheetView zoomScale="85" zoomScaleNormal="85" workbookViewId="0">
      <selection activeCell="K22" sqref="K22"/>
    </sheetView>
  </sheetViews>
  <sheetFormatPr defaultColWidth="8.81640625" defaultRowHeight="14.5" x14ac:dyDescent="0.35"/>
  <cols>
    <col min="1" max="2" width="10.81640625" style="4" customWidth="1"/>
    <col min="3" max="3" width="12.54296875" style="4" bestFit="1" customWidth="1"/>
    <col min="4" max="4" width="18" style="4" customWidth="1"/>
    <col min="5" max="7" width="12.54296875" style="4" customWidth="1"/>
    <col min="8" max="8" width="10.81640625" style="4" customWidth="1"/>
    <col min="9" max="9" width="29.81640625" style="4" customWidth="1"/>
    <col min="10" max="10" width="58.81640625" style="4" customWidth="1"/>
    <col min="11" max="11" width="42.54296875" style="4" bestFit="1" customWidth="1"/>
    <col min="12" max="12" width="19.1796875" style="4" customWidth="1"/>
    <col min="13" max="13" width="18.54296875" style="4" customWidth="1"/>
    <col min="14" max="14" width="12.81640625" style="4" customWidth="1"/>
    <col min="15" max="15" width="28.453125" style="4" bestFit="1" customWidth="1"/>
    <col min="16" max="16" width="12.81640625" style="4" customWidth="1"/>
    <col min="17" max="18" width="20.81640625" style="47" customWidth="1"/>
    <col min="19" max="19" width="36.54296875" style="47" bestFit="1" customWidth="1"/>
    <col min="20" max="16384" width="8.81640625" style="47"/>
  </cols>
  <sheetData>
    <row r="1" spans="1:19" ht="101.5" x14ac:dyDescent="0.35">
      <c r="H1" s="44" t="s">
        <v>37</v>
      </c>
      <c r="Q1" s="45" t="s">
        <v>38</v>
      </c>
      <c r="R1" s="46" t="s">
        <v>39</v>
      </c>
    </row>
    <row r="2" spans="1:19" x14ac:dyDescent="0.35">
      <c r="A2" s="64" t="s">
        <v>40</v>
      </c>
      <c r="B2" s="64" t="s">
        <v>56</v>
      </c>
      <c r="C2" s="64" t="s">
        <v>41</v>
      </c>
      <c r="D2" s="64" t="s">
        <v>42</v>
      </c>
      <c r="E2" s="64" t="s">
        <v>43</v>
      </c>
      <c r="F2" s="64" t="s">
        <v>44</v>
      </c>
      <c r="G2" s="64" t="s">
        <v>45</v>
      </c>
      <c r="H2" s="64" t="s">
        <v>46</v>
      </c>
      <c r="I2" s="64" t="s">
        <v>47</v>
      </c>
      <c r="J2" s="64" t="s">
        <v>48</v>
      </c>
      <c r="K2" s="64" t="s">
        <v>49</v>
      </c>
      <c r="L2" s="64" t="s">
        <v>50</v>
      </c>
      <c r="M2" s="48" t="s">
        <v>51</v>
      </c>
      <c r="N2" s="48" t="s">
        <v>52</v>
      </c>
      <c r="O2" s="48" t="s">
        <v>53</v>
      </c>
      <c r="P2" s="48" t="s">
        <v>54</v>
      </c>
      <c r="Q2" s="49" t="s">
        <v>55</v>
      </c>
      <c r="S2" s="47" t="s">
        <v>6</v>
      </c>
    </row>
    <row r="3" spans="1:19" x14ac:dyDescent="0.35">
      <c r="A3" s="52" t="s">
        <v>551</v>
      </c>
      <c r="B3" s="52" t="s">
        <v>526</v>
      </c>
      <c r="C3" s="104" t="s">
        <v>136</v>
      </c>
      <c r="D3" s="52" t="s">
        <v>74</v>
      </c>
      <c r="E3" s="52">
        <v>23</v>
      </c>
      <c r="F3" s="52" t="s">
        <v>85</v>
      </c>
      <c r="G3" s="52" t="s">
        <v>76</v>
      </c>
      <c r="H3" s="52">
        <v>4</v>
      </c>
      <c r="I3" s="52" t="s">
        <v>552</v>
      </c>
      <c r="J3" s="63" t="s">
        <v>553</v>
      </c>
      <c r="K3" s="52" t="s">
        <v>554</v>
      </c>
      <c r="L3" s="52" t="s">
        <v>525</v>
      </c>
      <c r="Q3" s="51" t="b">
        <v>0</v>
      </c>
      <c r="S3" s="65"/>
    </row>
    <row r="4" spans="1:19" x14ac:dyDescent="0.35">
      <c r="A4" s="52" t="s">
        <v>551</v>
      </c>
      <c r="B4" s="52" t="s">
        <v>526</v>
      </c>
      <c r="C4" s="104" t="s">
        <v>136</v>
      </c>
      <c r="D4" s="52" t="s">
        <v>74</v>
      </c>
      <c r="E4" s="52">
        <v>23</v>
      </c>
      <c r="F4" s="52" t="s">
        <v>91</v>
      </c>
      <c r="G4" s="52" t="s">
        <v>86</v>
      </c>
      <c r="H4" s="52">
        <v>4</v>
      </c>
      <c r="I4" s="52">
        <v>8</v>
      </c>
      <c r="J4" s="63" t="s">
        <v>553</v>
      </c>
      <c r="K4" s="52" t="s">
        <v>554</v>
      </c>
      <c r="L4" s="52" t="s">
        <v>525</v>
      </c>
      <c r="Q4" s="51" t="b">
        <v>0</v>
      </c>
      <c r="S4" s="65"/>
    </row>
    <row r="5" spans="1:19" x14ac:dyDescent="0.35">
      <c r="A5" s="52" t="s">
        <v>551</v>
      </c>
      <c r="B5" s="52" t="s">
        <v>526</v>
      </c>
      <c r="C5" s="104" t="s">
        <v>136</v>
      </c>
      <c r="D5" s="52" t="s">
        <v>79</v>
      </c>
      <c r="E5" s="52">
        <v>23</v>
      </c>
      <c r="F5" s="52" t="s">
        <v>88</v>
      </c>
      <c r="G5" s="52" t="s">
        <v>76</v>
      </c>
      <c r="H5" s="52">
        <v>4</v>
      </c>
      <c r="I5" s="52" t="s">
        <v>555</v>
      </c>
      <c r="J5" s="63" t="s">
        <v>553</v>
      </c>
      <c r="K5" s="52" t="s">
        <v>554</v>
      </c>
      <c r="L5" s="52" t="s">
        <v>525</v>
      </c>
      <c r="Q5" s="51" t="b">
        <v>0</v>
      </c>
      <c r="S5" s="65"/>
    </row>
    <row r="6" spans="1:19" x14ac:dyDescent="0.35">
      <c r="A6" s="52" t="s">
        <v>551</v>
      </c>
      <c r="B6" s="52" t="s">
        <v>526</v>
      </c>
      <c r="C6" s="104" t="s">
        <v>136</v>
      </c>
      <c r="D6" s="52" t="s">
        <v>81</v>
      </c>
      <c r="E6" s="52">
        <v>24</v>
      </c>
      <c r="F6" s="52" t="s">
        <v>75</v>
      </c>
      <c r="G6" s="52" t="s">
        <v>76</v>
      </c>
      <c r="H6" s="52">
        <v>4</v>
      </c>
      <c r="I6" s="52" t="s">
        <v>555</v>
      </c>
      <c r="J6" s="63" t="s">
        <v>553</v>
      </c>
      <c r="K6" s="52" t="s">
        <v>554</v>
      </c>
      <c r="L6" s="52" t="s">
        <v>525</v>
      </c>
      <c r="Q6" s="51" t="b">
        <v>0</v>
      </c>
      <c r="S6" s="65"/>
    </row>
    <row r="7" spans="1:19" x14ac:dyDescent="0.35">
      <c r="J7" s="66"/>
      <c r="Q7" s="51" t="b">
        <v>0</v>
      </c>
      <c r="S7" s="65"/>
    </row>
    <row r="8" spans="1:19" x14ac:dyDescent="0.35">
      <c r="A8" s="4" t="s">
        <v>556</v>
      </c>
      <c r="B8" s="4" t="s">
        <v>533</v>
      </c>
      <c r="C8" s="100" t="s">
        <v>209</v>
      </c>
      <c r="D8" s="4" t="s">
        <v>74</v>
      </c>
      <c r="E8" s="4">
        <f>68/2</f>
        <v>34</v>
      </c>
      <c r="F8" s="85" t="s">
        <v>91</v>
      </c>
      <c r="G8" s="4" t="s">
        <v>86</v>
      </c>
      <c r="H8" s="4">
        <v>2</v>
      </c>
      <c r="I8" s="4" t="s">
        <v>557</v>
      </c>
      <c r="J8" s="4" t="s">
        <v>511</v>
      </c>
      <c r="K8" s="4" t="s">
        <v>558</v>
      </c>
      <c r="N8" s="67"/>
      <c r="O8" s="67"/>
      <c r="P8" s="67"/>
      <c r="Q8" s="51" t="b">
        <v>0</v>
      </c>
      <c r="S8" s="65" t="s">
        <v>559</v>
      </c>
    </row>
    <row r="9" spans="1:19" x14ac:dyDescent="0.35">
      <c r="A9" s="4" t="s">
        <v>556</v>
      </c>
      <c r="B9" s="4" t="s">
        <v>533</v>
      </c>
      <c r="C9" s="100" t="s">
        <v>209</v>
      </c>
      <c r="D9" s="4" t="s">
        <v>79</v>
      </c>
      <c r="E9" s="4">
        <f>68/2</f>
        <v>34</v>
      </c>
      <c r="F9" s="85" t="s">
        <v>91</v>
      </c>
      <c r="G9" s="4" t="s">
        <v>92</v>
      </c>
      <c r="H9" s="4">
        <v>2</v>
      </c>
      <c r="I9" s="4" t="s">
        <v>557</v>
      </c>
      <c r="J9" s="4" t="s">
        <v>511</v>
      </c>
      <c r="K9" s="4" t="s">
        <v>558</v>
      </c>
      <c r="N9" s="67"/>
      <c r="O9" s="67"/>
      <c r="P9" s="67"/>
      <c r="Q9" s="51" t="b">
        <v>0</v>
      </c>
      <c r="S9" s="65" t="s">
        <v>559</v>
      </c>
    </row>
    <row r="10" spans="1:19" x14ac:dyDescent="0.35">
      <c r="Q10" s="51" t="b">
        <v>0</v>
      </c>
      <c r="S10" s="65"/>
    </row>
    <row r="11" spans="1:19" x14ac:dyDescent="0.35">
      <c r="A11" s="4" t="s">
        <v>556</v>
      </c>
      <c r="B11" s="4" t="s">
        <v>533</v>
      </c>
      <c r="C11" s="100" t="s">
        <v>211</v>
      </c>
      <c r="D11" s="4" t="s">
        <v>74</v>
      </c>
      <c r="E11" s="4">
        <f>68/4</f>
        <v>17</v>
      </c>
      <c r="F11" s="4" t="s">
        <v>85</v>
      </c>
      <c r="G11" s="4" t="s">
        <v>86</v>
      </c>
      <c r="H11" s="4">
        <v>4</v>
      </c>
      <c r="I11" s="4" t="s">
        <v>560</v>
      </c>
      <c r="J11" s="4" t="s">
        <v>561</v>
      </c>
      <c r="K11" s="4" t="s">
        <v>562</v>
      </c>
      <c r="N11" s="67"/>
      <c r="O11" s="67"/>
      <c r="P11" s="67"/>
      <c r="Q11" s="51" t="b">
        <v>0</v>
      </c>
    </row>
    <row r="12" spans="1:19" x14ac:dyDescent="0.35">
      <c r="A12" s="4" t="s">
        <v>556</v>
      </c>
      <c r="B12" s="4" t="s">
        <v>533</v>
      </c>
      <c r="C12" s="100" t="s">
        <v>211</v>
      </c>
      <c r="D12" s="4" t="s">
        <v>79</v>
      </c>
      <c r="E12" s="4">
        <f>68/4</f>
        <v>17</v>
      </c>
      <c r="F12" s="4" t="s">
        <v>85</v>
      </c>
      <c r="G12" s="4" t="s">
        <v>76</v>
      </c>
      <c r="H12" s="4">
        <v>4</v>
      </c>
      <c r="I12" s="4" t="s">
        <v>560</v>
      </c>
      <c r="J12" s="4" t="s">
        <v>561</v>
      </c>
      <c r="K12" s="4" t="s">
        <v>562</v>
      </c>
      <c r="N12" s="67"/>
      <c r="O12" s="67"/>
      <c r="P12" s="67"/>
      <c r="Q12" s="51" t="b">
        <v>0</v>
      </c>
    </row>
    <row r="13" spans="1:19" x14ac:dyDescent="0.35">
      <c r="A13" s="4" t="s">
        <v>556</v>
      </c>
      <c r="B13" s="4" t="s">
        <v>533</v>
      </c>
      <c r="C13" s="100" t="s">
        <v>211</v>
      </c>
      <c r="D13" s="4" t="s">
        <v>81</v>
      </c>
      <c r="E13" s="4">
        <f>68/4</f>
        <v>17</v>
      </c>
      <c r="F13" s="4" t="s">
        <v>75</v>
      </c>
      <c r="G13" s="4" t="s">
        <v>86</v>
      </c>
      <c r="H13" s="4">
        <v>4</v>
      </c>
      <c r="I13" s="4" t="s">
        <v>560</v>
      </c>
      <c r="J13" s="4" t="s">
        <v>561</v>
      </c>
      <c r="K13" s="4" t="s">
        <v>562</v>
      </c>
      <c r="N13" s="67"/>
      <c r="O13" s="67"/>
      <c r="P13" s="67"/>
      <c r="Q13" s="51" t="b">
        <v>0</v>
      </c>
    </row>
    <row r="14" spans="1:19" x14ac:dyDescent="0.35">
      <c r="A14" s="4" t="s">
        <v>556</v>
      </c>
      <c r="B14" s="4" t="s">
        <v>533</v>
      </c>
      <c r="C14" s="100" t="s">
        <v>211</v>
      </c>
      <c r="D14" s="4" t="s">
        <v>94</v>
      </c>
      <c r="E14" s="4">
        <f>68/4</f>
        <v>17</v>
      </c>
      <c r="F14" s="4" t="s">
        <v>75</v>
      </c>
      <c r="G14" s="4" t="s">
        <v>76</v>
      </c>
      <c r="H14" s="4">
        <v>4</v>
      </c>
      <c r="I14" s="4" t="s">
        <v>560</v>
      </c>
      <c r="J14" s="4" t="s">
        <v>561</v>
      </c>
      <c r="K14" s="4" t="s">
        <v>562</v>
      </c>
      <c r="N14" s="67"/>
      <c r="O14" s="67"/>
      <c r="P14" s="67"/>
      <c r="Q14" s="51" t="b">
        <v>0</v>
      </c>
    </row>
    <row r="15" spans="1:19" x14ac:dyDescent="0.35">
      <c r="Q15" s="51" t="b">
        <v>0</v>
      </c>
    </row>
    <row r="16" spans="1:19" x14ac:dyDescent="0.35">
      <c r="A16" s="4" t="s">
        <v>563</v>
      </c>
      <c r="B16" s="4" t="s">
        <v>564</v>
      </c>
      <c r="C16" s="100" t="s">
        <v>214</v>
      </c>
      <c r="D16" s="4" t="s">
        <v>487</v>
      </c>
      <c r="E16" s="4">
        <f>25</f>
        <v>25</v>
      </c>
      <c r="F16" s="4" t="s">
        <v>82</v>
      </c>
      <c r="G16" s="4" t="s">
        <v>86</v>
      </c>
      <c r="H16" s="4">
        <v>3</v>
      </c>
      <c r="I16" s="4">
        <v>9</v>
      </c>
      <c r="J16" s="50" t="s">
        <v>553</v>
      </c>
      <c r="K16" s="4" t="s">
        <v>565</v>
      </c>
      <c r="L16" s="4" t="s">
        <v>554</v>
      </c>
      <c r="Q16" s="51" t="b">
        <v>0</v>
      </c>
    </row>
    <row r="17" spans="1:17" x14ac:dyDescent="0.35">
      <c r="A17" s="4" t="s">
        <v>563</v>
      </c>
      <c r="B17" s="4" t="s">
        <v>564</v>
      </c>
      <c r="C17" s="100" t="s">
        <v>214</v>
      </c>
      <c r="D17" s="4" t="s">
        <v>492</v>
      </c>
      <c r="E17" s="4">
        <f>25</f>
        <v>25</v>
      </c>
      <c r="F17" s="4" t="s">
        <v>82</v>
      </c>
      <c r="G17" s="4" t="s">
        <v>76</v>
      </c>
      <c r="H17" s="4">
        <v>3</v>
      </c>
      <c r="I17" s="4">
        <v>9</v>
      </c>
      <c r="J17" s="50" t="s">
        <v>553</v>
      </c>
      <c r="K17" s="4" t="s">
        <v>565</v>
      </c>
      <c r="L17" s="4" t="s">
        <v>554</v>
      </c>
      <c r="Q17" s="51" t="b">
        <v>0</v>
      </c>
    </row>
    <row r="18" spans="1:17" x14ac:dyDescent="0.35">
      <c r="A18" s="4" t="s">
        <v>563</v>
      </c>
      <c r="B18" s="4" t="s">
        <v>564</v>
      </c>
      <c r="C18" s="100" t="s">
        <v>214</v>
      </c>
      <c r="D18" s="4" t="s">
        <v>487</v>
      </c>
      <c r="E18" s="4">
        <v>25</v>
      </c>
      <c r="F18" s="4" t="s">
        <v>82</v>
      </c>
      <c r="G18" s="4" t="s">
        <v>86</v>
      </c>
      <c r="H18" s="4">
        <v>3</v>
      </c>
      <c r="I18" s="4" t="s">
        <v>753</v>
      </c>
      <c r="J18" s="4" t="s">
        <v>754</v>
      </c>
      <c r="K18" s="4" t="s">
        <v>686</v>
      </c>
      <c r="L18" s="4" t="s">
        <v>567</v>
      </c>
      <c r="M18" s="4" t="s">
        <v>687</v>
      </c>
      <c r="Q18" s="51" t="b">
        <v>0</v>
      </c>
    </row>
    <row r="19" spans="1:17" x14ac:dyDescent="0.35">
      <c r="A19" s="4" t="s">
        <v>563</v>
      </c>
      <c r="B19" s="4" t="s">
        <v>564</v>
      </c>
      <c r="C19" s="100" t="s">
        <v>214</v>
      </c>
      <c r="D19" s="4" t="s">
        <v>492</v>
      </c>
      <c r="E19" s="4">
        <v>25</v>
      </c>
      <c r="F19" s="4" t="s">
        <v>82</v>
      </c>
      <c r="G19" s="4" t="s">
        <v>76</v>
      </c>
      <c r="H19" s="4">
        <v>3</v>
      </c>
      <c r="I19" s="4" t="s">
        <v>753</v>
      </c>
      <c r="J19" s="4" t="s">
        <v>754</v>
      </c>
      <c r="K19" s="4" t="s">
        <v>686</v>
      </c>
      <c r="L19" s="4" t="s">
        <v>567</v>
      </c>
      <c r="M19" s="4" t="s">
        <v>687</v>
      </c>
      <c r="Q19" s="51" t="b">
        <v>0</v>
      </c>
    </row>
    <row r="20" spans="1:17" x14ac:dyDescent="0.35">
      <c r="J20" s="50"/>
      <c r="Q20" s="51" t="b">
        <v>0</v>
      </c>
    </row>
    <row r="21" spans="1:17" s="65" customFormat="1" x14ac:dyDescent="0.35">
      <c r="A21" s="68" t="s">
        <v>563</v>
      </c>
      <c r="B21" s="68" t="s">
        <v>564</v>
      </c>
      <c r="C21" s="109" t="s">
        <v>217</v>
      </c>
      <c r="D21" s="68" t="s">
        <v>487</v>
      </c>
      <c r="E21" s="68">
        <v>35</v>
      </c>
      <c r="F21" s="111" t="s">
        <v>75</v>
      </c>
      <c r="G21" s="68" t="s">
        <v>86</v>
      </c>
      <c r="H21" s="68">
        <v>3</v>
      </c>
      <c r="I21" s="112" t="s">
        <v>750</v>
      </c>
      <c r="J21" s="69" t="s">
        <v>553</v>
      </c>
      <c r="K21" s="114"/>
      <c r="L21" s="68" t="s">
        <v>567</v>
      </c>
      <c r="M21" s="68" t="s">
        <v>554</v>
      </c>
      <c r="N21" s="68"/>
      <c r="O21" s="68"/>
      <c r="P21" s="68"/>
      <c r="Q21" s="70" t="b">
        <v>0</v>
      </c>
    </row>
    <row r="22" spans="1:17" s="65" customFormat="1" x14ac:dyDescent="0.35">
      <c r="A22" s="68" t="s">
        <v>563</v>
      </c>
      <c r="B22" s="68" t="s">
        <v>564</v>
      </c>
      <c r="C22" s="109" t="s">
        <v>217</v>
      </c>
      <c r="D22" s="68" t="s">
        <v>487</v>
      </c>
      <c r="E22" s="68">
        <v>35</v>
      </c>
      <c r="F22" s="111" t="s">
        <v>75</v>
      </c>
      <c r="G22" s="68" t="s">
        <v>86</v>
      </c>
      <c r="H22" s="68">
        <v>3</v>
      </c>
      <c r="I22" s="112">
        <v>8</v>
      </c>
      <c r="J22" s="69" t="s">
        <v>568</v>
      </c>
      <c r="K22" s="114"/>
      <c r="L22" s="68" t="s">
        <v>567</v>
      </c>
      <c r="M22" s="68" t="s">
        <v>554</v>
      </c>
      <c r="N22" s="68"/>
      <c r="O22" s="68"/>
      <c r="P22" s="68"/>
      <c r="Q22" s="70" t="b">
        <v>0</v>
      </c>
    </row>
    <row r="23" spans="1:17" x14ac:dyDescent="0.35">
      <c r="Q23" s="51" t="b">
        <v>0</v>
      </c>
    </row>
    <row r="24" spans="1:17" x14ac:dyDescent="0.35">
      <c r="Q24" s="51" t="b">
        <v>0</v>
      </c>
    </row>
    <row r="25" spans="1:17" x14ac:dyDescent="0.35">
      <c r="Q25" s="51" t="b">
        <v>0</v>
      </c>
    </row>
    <row r="26" spans="1:17" x14ac:dyDescent="0.35">
      <c r="Q26" s="51" t="b">
        <v>0</v>
      </c>
    </row>
    <row r="27" spans="1:17" x14ac:dyDescent="0.35">
      <c r="Q27" s="51" t="b">
        <v>0</v>
      </c>
    </row>
    <row r="28" spans="1:17" x14ac:dyDescent="0.35">
      <c r="Q28" s="51" t="b">
        <v>0</v>
      </c>
    </row>
    <row r="29" spans="1:17" x14ac:dyDescent="0.35">
      <c r="Q29" s="51" t="b">
        <v>0</v>
      </c>
    </row>
    <row r="30" spans="1:17" x14ac:dyDescent="0.35">
      <c r="Q30" s="51" t="b">
        <v>0</v>
      </c>
    </row>
    <row r="31" spans="1:17" x14ac:dyDescent="0.35">
      <c r="Q31" s="51" t="b">
        <v>0</v>
      </c>
    </row>
    <row r="32" spans="1:17" x14ac:dyDescent="0.35">
      <c r="Q32" s="51" t="b">
        <v>0</v>
      </c>
    </row>
    <row r="33" spans="17:17" x14ac:dyDescent="0.35">
      <c r="Q33" s="51" t="b">
        <v>0</v>
      </c>
    </row>
    <row r="34" spans="17:17" x14ac:dyDescent="0.35">
      <c r="Q34" s="51" t="b">
        <v>0</v>
      </c>
    </row>
    <row r="35" spans="17:17" x14ac:dyDescent="0.35">
      <c r="Q35" s="51" t="b">
        <v>0</v>
      </c>
    </row>
    <row r="36" spans="17:17" x14ac:dyDescent="0.35">
      <c r="Q36" s="51" t="b">
        <v>0</v>
      </c>
    </row>
    <row r="37" spans="17:17" x14ac:dyDescent="0.35">
      <c r="Q37" s="51" t="b">
        <v>0</v>
      </c>
    </row>
    <row r="38" spans="17:17" x14ac:dyDescent="0.35">
      <c r="Q38" s="51" t="b">
        <v>0</v>
      </c>
    </row>
    <row r="39" spans="17:17" x14ac:dyDescent="0.35">
      <c r="Q39" s="51" t="b">
        <v>0</v>
      </c>
    </row>
    <row r="40" spans="17:17" x14ac:dyDescent="0.35">
      <c r="Q40" s="51" t="b">
        <v>0</v>
      </c>
    </row>
    <row r="41" spans="17:17" x14ac:dyDescent="0.35">
      <c r="Q41" s="51" t="b">
        <v>0</v>
      </c>
    </row>
    <row r="42" spans="17:17" x14ac:dyDescent="0.35">
      <c r="Q42" s="51" t="b">
        <v>0</v>
      </c>
    </row>
    <row r="43" spans="17:17" x14ac:dyDescent="0.35">
      <c r="Q43" s="51" t="b">
        <v>0</v>
      </c>
    </row>
    <row r="44" spans="17:17" x14ac:dyDescent="0.35">
      <c r="Q44" s="51" t="b">
        <v>0</v>
      </c>
    </row>
    <row r="45" spans="17:17" x14ac:dyDescent="0.35">
      <c r="Q45" s="51" t="b">
        <v>0</v>
      </c>
    </row>
    <row r="46" spans="17:17" x14ac:dyDescent="0.35">
      <c r="Q46" s="51" t="b">
        <v>0</v>
      </c>
    </row>
    <row r="47" spans="17:17" x14ac:dyDescent="0.35">
      <c r="Q47" s="51" t="b">
        <v>0</v>
      </c>
    </row>
    <row r="48" spans="17:17" x14ac:dyDescent="0.35">
      <c r="Q48" s="51" t="b">
        <v>0</v>
      </c>
    </row>
    <row r="49" spans="7:17" x14ac:dyDescent="0.35">
      <c r="Q49" s="51" t="b">
        <v>0</v>
      </c>
    </row>
    <row r="50" spans="7:17" x14ac:dyDescent="0.35">
      <c r="Q50" s="51" t="b">
        <v>0</v>
      </c>
    </row>
    <row r="51" spans="7:17" x14ac:dyDescent="0.35">
      <c r="Q51" s="51" t="b">
        <v>0</v>
      </c>
    </row>
    <row r="52" spans="7:17" x14ac:dyDescent="0.35">
      <c r="Q52" s="51" t="b">
        <v>0</v>
      </c>
    </row>
    <row r="53" spans="7:17" x14ac:dyDescent="0.35">
      <c r="Q53" s="51" t="b">
        <v>0</v>
      </c>
    </row>
    <row r="54" spans="7:17" x14ac:dyDescent="0.35">
      <c r="Q54" s="51" t="b">
        <v>0</v>
      </c>
    </row>
    <row r="55" spans="7:17" x14ac:dyDescent="0.35">
      <c r="Q55" s="51" t="b">
        <v>0</v>
      </c>
    </row>
    <row r="56" spans="7:17" x14ac:dyDescent="0.35">
      <c r="Q56" s="51" t="b">
        <v>0</v>
      </c>
    </row>
    <row r="57" spans="7:17" x14ac:dyDescent="0.35">
      <c r="Q57" s="51" t="b">
        <v>0</v>
      </c>
    </row>
    <row r="58" spans="7:17" x14ac:dyDescent="0.35">
      <c r="Q58" s="51" t="b">
        <v>0</v>
      </c>
    </row>
    <row r="59" spans="7:17" x14ac:dyDescent="0.35">
      <c r="Q59" s="51" t="b">
        <v>0</v>
      </c>
    </row>
    <row r="60" spans="7:17" x14ac:dyDescent="0.35">
      <c r="Q60" s="51" t="b">
        <v>0</v>
      </c>
    </row>
    <row r="61" spans="7:17" x14ac:dyDescent="0.35">
      <c r="Q61" s="51" t="b">
        <v>0</v>
      </c>
    </row>
    <row r="62" spans="7:17" x14ac:dyDescent="0.35">
      <c r="Q62" s="51" t="b">
        <v>0</v>
      </c>
    </row>
    <row r="63" spans="7:17" x14ac:dyDescent="0.35">
      <c r="Q63" s="51" t="b">
        <v>0</v>
      </c>
    </row>
    <row r="64" spans="7:17" x14ac:dyDescent="0.35">
      <c r="G64" s="53"/>
      <c r="Q64" s="51" t="b">
        <v>0</v>
      </c>
    </row>
    <row r="65" spans="7:17" x14ac:dyDescent="0.35">
      <c r="G65" s="53"/>
      <c r="Q65" s="51" t="b">
        <v>0</v>
      </c>
    </row>
    <row r="66" spans="7:17" x14ac:dyDescent="0.35">
      <c r="G66" s="53"/>
      <c r="Q66" s="51" t="b">
        <v>0</v>
      </c>
    </row>
    <row r="67" spans="7:17" x14ac:dyDescent="0.35">
      <c r="G67" s="53"/>
      <c r="Q67" s="51" t="b">
        <v>0</v>
      </c>
    </row>
    <row r="68" spans="7:17" x14ac:dyDescent="0.35">
      <c r="G68" s="53"/>
      <c r="Q68" s="51" t="b">
        <v>0</v>
      </c>
    </row>
    <row r="69" spans="7:17" x14ac:dyDescent="0.35">
      <c r="G69" s="53"/>
      <c r="Q69" s="51" t="b">
        <v>0</v>
      </c>
    </row>
    <row r="70" spans="7:17" x14ac:dyDescent="0.35">
      <c r="G70" s="53"/>
      <c r="Q70" s="51" t="b">
        <v>0</v>
      </c>
    </row>
    <row r="71" spans="7:17" x14ac:dyDescent="0.35">
      <c r="Q71" s="51" t="b">
        <v>0</v>
      </c>
    </row>
    <row r="72" spans="7:17" x14ac:dyDescent="0.35">
      <c r="Q72" s="51" t="b">
        <v>0</v>
      </c>
    </row>
    <row r="73" spans="7:17" x14ac:dyDescent="0.35">
      <c r="Q73" s="51" t="b">
        <v>0</v>
      </c>
    </row>
    <row r="74" spans="7:17" x14ac:dyDescent="0.35">
      <c r="Q74" s="51" t="b">
        <v>0</v>
      </c>
    </row>
    <row r="75" spans="7:17" x14ac:dyDescent="0.35">
      <c r="Q75" s="51" t="b">
        <v>0</v>
      </c>
    </row>
    <row r="76" spans="7:17" x14ac:dyDescent="0.35">
      <c r="Q76" s="51" t="b">
        <v>0</v>
      </c>
    </row>
    <row r="77" spans="7:17" x14ac:dyDescent="0.35">
      <c r="Q77" s="51" t="b">
        <v>0</v>
      </c>
    </row>
    <row r="78" spans="7:17" x14ac:dyDescent="0.35">
      <c r="Q78" s="51" t="b">
        <v>0</v>
      </c>
    </row>
    <row r="79" spans="7:17" x14ac:dyDescent="0.35">
      <c r="Q79" s="51" t="b">
        <v>0</v>
      </c>
    </row>
    <row r="80" spans="7:17" x14ac:dyDescent="0.35">
      <c r="Q80" s="51" t="b">
        <v>0</v>
      </c>
    </row>
    <row r="81" spans="17:17" x14ac:dyDescent="0.35">
      <c r="Q81" s="51" t="b">
        <v>0</v>
      </c>
    </row>
    <row r="82" spans="17:17" x14ac:dyDescent="0.35">
      <c r="Q82" s="51" t="b">
        <v>0</v>
      </c>
    </row>
    <row r="83" spans="17:17" x14ac:dyDescent="0.35">
      <c r="Q83" s="51" t="b">
        <v>0</v>
      </c>
    </row>
    <row r="84" spans="17:17" x14ac:dyDescent="0.35">
      <c r="Q84" s="51" t="b">
        <v>0</v>
      </c>
    </row>
    <row r="85" spans="17:17" x14ac:dyDescent="0.35">
      <c r="Q85" s="51" t="b">
        <v>0</v>
      </c>
    </row>
    <row r="86" spans="17:17" x14ac:dyDescent="0.35">
      <c r="Q86" s="51" t="b">
        <v>0</v>
      </c>
    </row>
    <row r="87" spans="17:17" x14ac:dyDescent="0.35">
      <c r="Q87" s="51" t="b">
        <v>0</v>
      </c>
    </row>
    <row r="88" spans="17:17" x14ac:dyDescent="0.35">
      <c r="Q88" s="51" t="b">
        <v>0</v>
      </c>
    </row>
    <row r="89" spans="17:17" x14ac:dyDescent="0.35">
      <c r="Q89" s="51" t="b">
        <v>0</v>
      </c>
    </row>
    <row r="90" spans="17:17" x14ac:dyDescent="0.35">
      <c r="Q90" s="51" t="b">
        <v>0</v>
      </c>
    </row>
    <row r="91" spans="17:17" x14ac:dyDescent="0.35">
      <c r="Q91" s="51" t="b">
        <v>0</v>
      </c>
    </row>
    <row r="92" spans="17:17" x14ac:dyDescent="0.35">
      <c r="Q92" s="51" t="b">
        <v>0</v>
      </c>
    </row>
    <row r="93" spans="17:17" x14ac:dyDescent="0.35">
      <c r="Q93" s="51" t="b">
        <v>0</v>
      </c>
    </row>
    <row r="94" spans="17:17" x14ac:dyDescent="0.35">
      <c r="Q94" s="51" t="b">
        <v>0</v>
      </c>
    </row>
    <row r="95" spans="17:17" x14ac:dyDescent="0.35">
      <c r="Q95" s="51" t="b">
        <v>0</v>
      </c>
    </row>
    <row r="96" spans="17:17" x14ac:dyDescent="0.35">
      <c r="Q96" s="51" t="b">
        <v>0</v>
      </c>
    </row>
    <row r="97" spans="17:17" x14ac:dyDescent="0.35">
      <c r="Q97" s="51" t="b">
        <v>0</v>
      </c>
    </row>
    <row r="98" spans="17:17" x14ac:dyDescent="0.35">
      <c r="Q98" s="51" t="b">
        <v>0</v>
      </c>
    </row>
    <row r="99" spans="17:17" x14ac:dyDescent="0.35">
      <c r="Q99" s="51" t="b">
        <v>0</v>
      </c>
    </row>
    <row r="100" spans="17:17" x14ac:dyDescent="0.35">
      <c r="Q100" s="51" t="b">
        <v>0</v>
      </c>
    </row>
    <row r="101" spans="17:17" x14ac:dyDescent="0.35">
      <c r="Q101" s="51" t="b">
        <v>0</v>
      </c>
    </row>
    <row r="102" spans="17:17" x14ac:dyDescent="0.35">
      <c r="Q102" s="51" t="b">
        <v>0</v>
      </c>
    </row>
    <row r="103" spans="17:17" x14ac:dyDescent="0.35">
      <c r="Q103" s="51" t="b">
        <v>0</v>
      </c>
    </row>
    <row r="104" spans="17:17" x14ac:dyDescent="0.35">
      <c r="Q104" s="51" t="b">
        <v>0</v>
      </c>
    </row>
    <row r="105" spans="17:17" x14ac:dyDescent="0.35">
      <c r="Q105" s="51" t="b">
        <v>0</v>
      </c>
    </row>
    <row r="106" spans="17:17" x14ac:dyDescent="0.35">
      <c r="Q106" s="51" t="b">
        <v>0</v>
      </c>
    </row>
    <row r="107" spans="17:17" x14ac:dyDescent="0.35">
      <c r="Q107" s="51" t="b">
        <v>0</v>
      </c>
    </row>
    <row r="108" spans="17:17" x14ac:dyDescent="0.35">
      <c r="Q108" s="51" t="b">
        <v>0</v>
      </c>
    </row>
    <row r="109" spans="17:17" x14ac:dyDescent="0.35">
      <c r="Q109" s="51" t="b">
        <v>0</v>
      </c>
    </row>
    <row r="110" spans="17:17" x14ac:dyDescent="0.35">
      <c r="Q110" s="51" t="b">
        <v>0</v>
      </c>
    </row>
    <row r="111" spans="17:17" x14ac:dyDescent="0.35">
      <c r="Q111" s="51" t="b">
        <v>0</v>
      </c>
    </row>
    <row r="112" spans="17:17" x14ac:dyDescent="0.35">
      <c r="Q112" s="51" t="b">
        <v>0</v>
      </c>
    </row>
    <row r="113" spans="17:17" x14ac:dyDescent="0.35">
      <c r="Q113" s="51" t="b">
        <v>0</v>
      </c>
    </row>
    <row r="114" spans="17:17" x14ac:dyDescent="0.35">
      <c r="Q114" s="51" t="b">
        <v>0</v>
      </c>
    </row>
    <row r="115" spans="17:17" x14ac:dyDescent="0.35">
      <c r="Q115" s="51" t="b">
        <v>0</v>
      </c>
    </row>
    <row r="116" spans="17:17" x14ac:dyDescent="0.35">
      <c r="Q116" s="51" t="b">
        <v>0</v>
      </c>
    </row>
    <row r="117" spans="17:17" x14ac:dyDescent="0.35">
      <c r="Q117" s="51" t="b">
        <v>0</v>
      </c>
    </row>
    <row r="118" spans="17:17" x14ac:dyDescent="0.35">
      <c r="Q118" s="51" t="b">
        <v>0</v>
      </c>
    </row>
    <row r="119" spans="17:17" x14ac:dyDescent="0.35">
      <c r="Q119" s="51" t="b">
        <v>0</v>
      </c>
    </row>
    <row r="120" spans="17:17" x14ac:dyDescent="0.35">
      <c r="Q120" s="51" t="b">
        <v>0</v>
      </c>
    </row>
    <row r="121" spans="17:17" x14ac:dyDescent="0.35">
      <c r="Q121" s="51" t="b">
        <v>0</v>
      </c>
    </row>
    <row r="122" spans="17:17" x14ac:dyDescent="0.35">
      <c r="Q122" s="51" t="b">
        <v>0</v>
      </c>
    </row>
    <row r="123" spans="17:17" x14ac:dyDescent="0.35">
      <c r="Q123" s="51" t="b">
        <v>0</v>
      </c>
    </row>
    <row r="124" spans="17:17" x14ac:dyDescent="0.35">
      <c r="Q124" s="51" t="b">
        <v>0</v>
      </c>
    </row>
    <row r="125" spans="17:17" x14ac:dyDescent="0.35">
      <c r="Q125" s="51" t="b">
        <v>0</v>
      </c>
    </row>
    <row r="126" spans="17:17" x14ac:dyDescent="0.35">
      <c r="Q126" s="51" t="b">
        <v>0</v>
      </c>
    </row>
    <row r="127" spans="17:17" x14ac:dyDescent="0.35">
      <c r="Q127" s="51" t="b">
        <v>0</v>
      </c>
    </row>
    <row r="128" spans="17:17" x14ac:dyDescent="0.35">
      <c r="Q128" s="51" t="b">
        <v>0</v>
      </c>
    </row>
    <row r="129" spans="17:17" x14ac:dyDescent="0.35">
      <c r="Q129" s="51" t="b">
        <v>0</v>
      </c>
    </row>
    <row r="130" spans="17:17" x14ac:dyDescent="0.35">
      <c r="Q130" s="51" t="b">
        <v>0</v>
      </c>
    </row>
    <row r="131" spans="17:17" x14ac:dyDescent="0.35">
      <c r="Q131" s="51" t="b">
        <v>0</v>
      </c>
    </row>
    <row r="132" spans="17:17" x14ac:dyDescent="0.35">
      <c r="Q132" s="51" t="b">
        <v>0</v>
      </c>
    </row>
    <row r="133" spans="17:17" x14ac:dyDescent="0.35">
      <c r="Q133" s="51" t="b">
        <v>0</v>
      </c>
    </row>
    <row r="134" spans="17:17" x14ac:dyDescent="0.35">
      <c r="Q134" s="51" t="b">
        <v>0</v>
      </c>
    </row>
    <row r="135" spans="17:17" x14ac:dyDescent="0.35">
      <c r="Q135" s="51" t="b">
        <v>0</v>
      </c>
    </row>
    <row r="136" spans="17:17" x14ac:dyDescent="0.35">
      <c r="Q136" s="51" t="b">
        <v>0</v>
      </c>
    </row>
    <row r="137" spans="17:17" x14ac:dyDescent="0.35">
      <c r="Q137" s="51" t="b">
        <v>0</v>
      </c>
    </row>
    <row r="138" spans="17:17" x14ac:dyDescent="0.35">
      <c r="Q138" s="51" t="b">
        <v>0</v>
      </c>
    </row>
    <row r="139" spans="17:17" x14ac:dyDescent="0.35">
      <c r="Q139" s="51" t="b">
        <v>0</v>
      </c>
    </row>
    <row r="140" spans="17:17" x14ac:dyDescent="0.35">
      <c r="Q140" s="51" t="b">
        <v>0</v>
      </c>
    </row>
    <row r="141" spans="17:17" x14ac:dyDescent="0.35">
      <c r="Q141" s="51" t="b">
        <v>0</v>
      </c>
    </row>
    <row r="142" spans="17:17" x14ac:dyDescent="0.35">
      <c r="Q142" s="51" t="b">
        <v>0</v>
      </c>
    </row>
    <row r="143" spans="17:17" x14ac:dyDescent="0.35">
      <c r="Q143" s="51" t="b">
        <v>0</v>
      </c>
    </row>
    <row r="144" spans="17:17" x14ac:dyDescent="0.35">
      <c r="Q144" s="51" t="b">
        <v>0</v>
      </c>
    </row>
    <row r="145" spans="17:17" x14ac:dyDescent="0.35">
      <c r="Q145" s="51" t="b">
        <v>0</v>
      </c>
    </row>
    <row r="146" spans="17:17" x14ac:dyDescent="0.35">
      <c r="Q146" s="51" t="b">
        <v>0</v>
      </c>
    </row>
    <row r="147" spans="17:17" x14ac:dyDescent="0.35">
      <c r="Q147" s="51" t="b">
        <v>0</v>
      </c>
    </row>
    <row r="148" spans="17:17" x14ac:dyDescent="0.35">
      <c r="Q148" s="51" t="b">
        <v>0</v>
      </c>
    </row>
    <row r="149" spans="17:17" x14ac:dyDescent="0.35">
      <c r="Q149" s="51" t="b">
        <v>0</v>
      </c>
    </row>
    <row r="150" spans="17:17" x14ac:dyDescent="0.35">
      <c r="Q150" s="51" t="b">
        <v>0</v>
      </c>
    </row>
    <row r="151" spans="17:17" x14ac:dyDescent="0.35">
      <c r="Q151" s="51" t="b">
        <v>0</v>
      </c>
    </row>
    <row r="152" spans="17:17" x14ac:dyDescent="0.35">
      <c r="Q152" s="51" t="b">
        <v>0</v>
      </c>
    </row>
    <row r="153" spans="17:17" x14ac:dyDescent="0.35">
      <c r="Q153" s="51" t="b">
        <v>0</v>
      </c>
    </row>
    <row r="154" spans="17:17" x14ac:dyDescent="0.35">
      <c r="Q154" s="51" t="b">
        <v>0</v>
      </c>
    </row>
    <row r="155" spans="17:17" x14ac:dyDescent="0.35">
      <c r="Q155" s="51" t="b">
        <v>0</v>
      </c>
    </row>
  </sheetData>
  <autoFilter ref="A2:S155" xr:uid="{E2CFB827-D89D-4F0E-9BBE-296831F43A1D}"/>
  <dataValidations count="2">
    <dataValidation type="list" allowBlank="1" showInputMessage="1" showErrorMessage="1" sqref="O156:O1048576 P49:P53 P59:P1048576" xr:uid="{76541863-2A60-4101-A02B-2050414E4281}">
      <formula1>#REF!</formula1>
    </dataValidation>
    <dataValidation type="list" allowBlank="1" showInputMessage="1" showErrorMessage="1" sqref="K156:K1048576" xr:uid="{96C6365E-FCC6-4B86-AD16-D6E92913796B}">
      <formula1>$C$3:$C$389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EE4FC-F05E-4E3D-914B-A31C238D8C64}">
  <sheetPr filterMode="1"/>
  <dimension ref="A1:Q138"/>
  <sheetViews>
    <sheetView zoomScale="80" zoomScaleNormal="80" workbookViewId="0">
      <selection activeCell="A13" sqref="A13:XFD13"/>
    </sheetView>
  </sheetViews>
  <sheetFormatPr defaultColWidth="8.81640625" defaultRowHeight="14.5" x14ac:dyDescent="0.35"/>
  <cols>
    <col min="1" max="1" width="10.81640625" style="14" customWidth="1"/>
    <col min="2" max="2" width="11.81640625" style="14" bestFit="1" customWidth="1"/>
    <col min="3" max="3" width="9.81640625" style="14" customWidth="1"/>
    <col min="4" max="6" width="12.54296875" style="14" customWidth="1"/>
    <col min="7" max="7" width="20.81640625" style="14" bestFit="1" customWidth="1"/>
    <col min="8" max="8" width="8.54296875" style="14" customWidth="1"/>
    <col min="9" max="9" width="69.6328125" style="14" bestFit="1" customWidth="1"/>
    <col min="10" max="10" width="19.1796875" style="14" bestFit="1" customWidth="1"/>
    <col min="11" max="11" width="26.54296875" style="14" customWidth="1"/>
    <col min="12" max="12" width="28.453125" style="14" bestFit="1" customWidth="1"/>
    <col min="13" max="13" width="12.81640625" style="14" customWidth="1"/>
    <col min="14" max="14" width="28.453125" style="14" bestFit="1" customWidth="1"/>
    <col min="15" max="15" width="12.81640625" style="14" customWidth="1"/>
    <col min="16" max="17" width="20.81640625" style="15" customWidth="1"/>
    <col min="18" max="16384" width="8.81640625" style="15"/>
  </cols>
  <sheetData>
    <row r="1" spans="1:17" ht="18.75" customHeight="1" x14ac:dyDescent="0.35">
      <c r="G1" s="55" t="s">
        <v>37</v>
      </c>
      <c r="P1" s="56" t="s">
        <v>38</v>
      </c>
      <c r="Q1" s="57" t="s">
        <v>39</v>
      </c>
    </row>
    <row r="2" spans="1:17" x14ac:dyDescent="0.35">
      <c r="A2" s="10" t="s">
        <v>40</v>
      </c>
      <c r="B2" s="10" t="s">
        <v>41</v>
      </c>
      <c r="C2" s="10" t="s">
        <v>42</v>
      </c>
      <c r="D2" s="10" t="s">
        <v>43</v>
      </c>
      <c r="E2" s="10" t="s">
        <v>44</v>
      </c>
      <c r="F2" s="10" t="s">
        <v>45</v>
      </c>
      <c r="G2" s="10" t="s">
        <v>46</v>
      </c>
      <c r="H2" s="10" t="s">
        <v>47</v>
      </c>
      <c r="I2" s="10" t="s">
        <v>48</v>
      </c>
      <c r="J2" s="10" t="s">
        <v>49</v>
      </c>
      <c r="K2" s="10" t="s">
        <v>50</v>
      </c>
      <c r="L2" s="10" t="s">
        <v>51</v>
      </c>
      <c r="M2" s="10" t="s">
        <v>52</v>
      </c>
      <c r="N2" s="10" t="s">
        <v>53</v>
      </c>
      <c r="O2" s="10" t="s">
        <v>54</v>
      </c>
      <c r="P2" s="5" t="s">
        <v>55</v>
      </c>
    </row>
    <row r="3" spans="1:17" hidden="1" x14ac:dyDescent="0.35">
      <c r="A3" s="1" t="s">
        <v>569</v>
      </c>
      <c r="B3" s="102" t="s">
        <v>188</v>
      </c>
      <c r="C3" s="14" t="s">
        <v>74</v>
      </c>
      <c r="D3" s="1">
        <v>33</v>
      </c>
      <c r="E3" s="43" t="s">
        <v>75</v>
      </c>
      <c r="F3" s="43" t="s">
        <v>86</v>
      </c>
      <c r="G3" s="1">
        <v>3</v>
      </c>
      <c r="H3" s="1" t="s">
        <v>570</v>
      </c>
      <c r="I3" s="1" t="s">
        <v>571</v>
      </c>
      <c r="J3" s="14" t="s">
        <v>572</v>
      </c>
      <c r="K3" s="23"/>
      <c r="L3" s="23"/>
      <c r="M3" s="1"/>
      <c r="N3" s="1"/>
      <c r="O3" s="1"/>
      <c r="P3" s="54" t="b">
        <v>0</v>
      </c>
    </row>
    <row r="4" spans="1:17" hidden="1" x14ac:dyDescent="0.35">
      <c r="A4" s="1" t="s">
        <v>569</v>
      </c>
      <c r="B4" s="102" t="s">
        <v>188</v>
      </c>
      <c r="C4" s="14" t="s">
        <v>79</v>
      </c>
      <c r="D4" s="1">
        <v>34</v>
      </c>
      <c r="E4" s="43" t="s">
        <v>75</v>
      </c>
      <c r="F4" s="43" t="s">
        <v>76</v>
      </c>
      <c r="G4" s="1">
        <v>3</v>
      </c>
      <c r="H4" s="1" t="s">
        <v>570</v>
      </c>
      <c r="I4" s="1" t="s">
        <v>571</v>
      </c>
      <c r="J4" s="14" t="s">
        <v>572</v>
      </c>
      <c r="K4" s="23"/>
      <c r="L4" s="23"/>
      <c r="M4" s="1"/>
      <c r="N4" s="1"/>
      <c r="O4" s="1"/>
      <c r="P4" s="54" t="b">
        <v>0</v>
      </c>
    </row>
    <row r="5" spans="1:17" hidden="1" x14ac:dyDescent="0.35">
      <c r="A5" s="1" t="s">
        <v>569</v>
      </c>
      <c r="B5" s="102" t="s">
        <v>188</v>
      </c>
      <c r="C5" s="14" t="s">
        <v>81</v>
      </c>
      <c r="D5" s="1">
        <v>33</v>
      </c>
      <c r="E5" s="43" t="s">
        <v>82</v>
      </c>
      <c r="F5" s="43" t="s">
        <v>86</v>
      </c>
      <c r="G5" s="1">
        <v>3</v>
      </c>
      <c r="H5" s="1" t="s">
        <v>570</v>
      </c>
      <c r="I5" s="23" t="s">
        <v>571</v>
      </c>
      <c r="J5" s="14" t="s">
        <v>572</v>
      </c>
      <c r="K5" s="23"/>
      <c r="L5" s="23"/>
      <c r="M5" s="1"/>
      <c r="N5" s="1"/>
      <c r="O5" s="1"/>
      <c r="P5" s="54" t="b">
        <v>0</v>
      </c>
    </row>
    <row r="6" spans="1:17" s="75" customFormat="1" hidden="1" x14ac:dyDescent="0.35">
      <c r="A6" s="71" t="s">
        <v>569</v>
      </c>
      <c r="B6" s="102" t="s">
        <v>191</v>
      </c>
      <c r="C6" s="72" t="s">
        <v>81</v>
      </c>
      <c r="D6" s="71">
        <v>33</v>
      </c>
      <c r="E6" s="73" t="s">
        <v>75</v>
      </c>
      <c r="F6" s="73" t="s">
        <v>86</v>
      </c>
      <c r="G6" s="71">
        <v>3</v>
      </c>
      <c r="H6" s="71" t="s">
        <v>570</v>
      </c>
      <c r="I6" s="71" t="s">
        <v>527</v>
      </c>
      <c r="J6" s="71" t="s">
        <v>573</v>
      </c>
      <c r="K6" s="71"/>
      <c r="L6" s="71"/>
      <c r="M6" s="71"/>
      <c r="N6" s="71"/>
      <c r="O6" s="71"/>
      <c r="P6" s="74" t="b">
        <v>0</v>
      </c>
    </row>
    <row r="7" spans="1:17" s="75" customFormat="1" hidden="1" x14ac:dyDescent="0.35">
      <c r="A7" s="71" t="s">
        <v>569</v>
      </c>
      <c r="B7" s="102" t="s">
        <v>191</v>
      </c>
      <c r="C7" s="72" t="s">
        <v>74</v>
      </c>
      <c r="D7" s="71">
        <v>34</v>
      </c>
      <c r="E7" s="73" t="s">
        <v>75</v>
      </c>
      <c r="F7" s="73" t="s">
        <v>76</v>
      </c>
      <c r="G7" s="71">
        <v>3</v>
      </c>
      <c r="H7" s="71" t="s">
        <v>570</v>
      </c>
      <c r="I7" s="71" t="s">
        <v>527</v>
      </c>
      <c r="J7" s="71" t="s">
        <v>573</v>
      </c>
      <c r="K7" s="71"/>
      <c r="L7" s="71"/>
      <c r="M7" s="71"/>
      <c r="N7" s="71"/>
      <c r="O7" s="71"/>
      <c r="P7" s="74" t="b">
        <v>0</v>
      </c>
    </row>
    <row r="8" spans="1:17" s="75" customFormat="1" hidden="1" x14ac:dyDescent="0.35">
      <c r="A8" s="71" t="s">
        <v>569</v>
      </c>
      <c r="B8" s="102" t="s">
        <v>191</v>
      </c>
      <c r="C8" s="72" t="s">
        <v>79</v>
      </c>
      <c r="D8" s="71">
        <v>33</v>
      </c>
      <c r="E8" s="73" t="s">
        <v>82</v>
      </c>
      <c r="F8" s="73" t="s">
        <v>86</v>
      </c>
      <c r="G8" s="71">
        <v>3</v>
      </c>
      <c r="H8" s="71" t="s">
        <v>570</v>
      </c>
      <c r="I8" s="71" t="s">
        <v>527</v>
      </c>
      <c r="J8" s="71" t="s">
        <v>573</v>
      </c>
      <c r="K8" s="71"/>
      <c r="L8" s="71"/>
      <c r="M8" s="71"/>
      <c r="N8" s="71"/>
      <c r="O8" s="71"/>
      <c r="P8" s="74" t="b">
        <v>0</v>
      </c>
    </row>
    <row r="9" spans="1:17" x14ac:dyDescent="0.35">
      <c r="A9" s="1" t="s">
        <v>574</v>
      </c>
      <c r="B9" s="102" t="s">
        <v>194</v>
      </c>
      <c r="C9" s="14" t="s">
        <v>74</v>
      </c>
      <c r="D9" s="1">
        <f>93/3</f>
        <v>31</v>
      </c>
      <c r="E9" s="43" t="s">
        <v>85</v>
      </c>
      <c r="F9" s="43" t="s">
        <v>86</v>
      </c>
      <c r="G9" s="1">
        <v>3</v>
      </c>
      <c r="H9" s="1" t="s">
        <v>575</v>
      </c>
      <c r="I9" s="1" t="s">
        <v>571</v>
      </c>
      <c r="J9" s="1" t="s">
        <v>576</v>
      </c>
      <c r="K9" s="1" t="s">
        <v>543</v>
      </c>
      <c r="L9" s="1"/>
      <c r="M9" s="1"/>
      <c r="N9" s="1"/>
      <c r="O9" s="1"/>
      <c r="P9" s="54" t="b">
        <v>0</v>
      </c>
    </row>
    <row r="10" spans="1:17" x14ac:dyDescent="0.35">
      <c r="A10" s="1" t="s">
        <v>574</v>
      </c>
      <c r="B10" s="102" t="s">
        <v>194</v>
      </c>
      <c r="C10" s="14" t="s">
        <v>79</v>
      </c>
      <c r="D10" s="1">
        <f>93/3</f>
        <v>31</v>
      </c>
      <c r="E10" s="43" t="s">
        <v>91</v>
      </c>
      <c r="F10" s="43" t="s">
        <v>86</v>
      </c>
      <c r="G10" s="1">
        <v>3</v>
      </c>
      <c r="H10" s="1" t="s">
        <v>575</v>
      </c>
      <c r="I10" s="1" t="s">
        <v>571</v>
      </c>
      <c r="J10" s="1" t="s">
        <v>576</v>
      </c>
      <c r="K10" s="1" t="s">
        <v>543</v>
      </c>
      <c r="L10" s="1"/>
      <c r="M10" s="1"/>
      <c r="N10" s="1"/>
      <c r="O10" s="1"/>
      <c r="P10" s="54" t="b">
        <v>0</v>
      </c>
    </row>
    <row r="11" spans="1:17" x14ac:dyDescent="0.35">
      <c r="A11" s="1" t="s">
        <v>574</v>
      </c>
      <c r="B11" s="102" t="s">
        <v>194</v>
      </c>
      <c r="C11" s="14" t="s">
        <v>81</v>
      </c>
      <c r="D11" s="1">
        <f>93/3</f>
        <v>31</v>
      </c>
      <c r="E11" s="43" t="s">
        <v>82</v>
      </c>
      <c r="F11" s="43" t="s">
        <v>76</v>
      </c>
      <c r="G11" s="1">
        <v>3</v>
      </c>
      <c r="H11" s="1" t="s">
        <v>575</v>
      </c>
      <c r="I11" s="1" t="s">
        <v>571</v>
      </c>
      <c r="J11" s="1" t="s">
        <v>576</v>
      </c>
      <c r="K11" s="1" t="s">
        <v>543</v>
      </c>
      <c r="L11" s="1"/>
      <c r="M11" s="1"/>
      <c r="N11" s="1"/>
      <c r="O11" s="1"/>
      <c r="P11" s="54" t="b">
        <v>0</v>
      </c>
    </row>
    <row r="12" spans="1:17" s="75" customFormat="1" x14ac:dyDescent="0.35">
      <c r="A12" s="71" t="s">
        <v>574</v>
      </c>
      <c r="B12" s="102" t="s">
        <v>197</v>
      </c>
      <c r="C12" s="72" t="s">
        <v>470</v>
      </c>
      <c r="D12" s="71">
        <v>93</v>
      </c>
      <c r="E12" s="73" t="s">
        <v>85</v>
      </c>
      <c r="F12" s="73" t="s">
        <v>92</v>
      </c>
      <c r="G12" s="71">
        <v>2</v>
      </c>
      <c r="H12" s="73">
        <v>6</v>
      </c>
      <c r="I12" s="71" t="s">
        <v>577</v>
      </c>
      <c r="J12" s="71" t="s">
        <v>573</v>
      </c>
      <c r="K12" s="71" t="s">
        <v>576</v>
      </c>
      <c r="L12" s="71"/>
      <c r="M12" s="71"/>
      <c r="N12" s="71"/>
      <c r="O12" s="71"/>
      <c r="P12" s="74" t="b">
        <v>0</v>
      </c>
    </row>
    <row r="13" spans="1:17" s="75" customFormat="1" x14ac:dyDescent="0.35">
      <c r="A13" s="71" t="s">
        <v>574</v>
      </c>
      <c r="B13" s="102" t="s">
        <v>197</v>
      </c>
      <c r="C13" s="72" t="s">
        <v>470</v>
      </c>
      <c r="D13" s="71">
        <v>93</v>
      </c>
      <c r="E13" s="73" t="s">
        <v>91</v>
      </c>
      <c r="F13" s="73" t="s">
        <v>86</v>
      </c>
      <c r="G13" s="71">
        <v>5</v>
      </c>
      <c r="H13" s="71">
        <v>6</v>
      </c>
      <c r="I13" s="71" t="s">
        <v>578</v>
      </c>
      <c r="J13" s="71" t="s">
        <v>573</v>
      </c>
      <c r="K13" s="71" t="s">
        <v>576</v>
      </c>
      <c r="L13" s="71"/>
      <c r="M13" s="71"/>
      <c r="N13" s="71"/>
      <c r="O13" s="71"/>
      <c r="P13" s="74" t="b">
        <v>0</v>
      </c>
    </row>
    <row r="14" spans="1:17" s="75" customFormat="1" x14ac:dyDescent="0.35">
      <c r="A14" s="71" t="s">
        <v>574</v>
      </c>
      <c r="B14" s="102" t="s">
        <v>197</v>
      </c>
      <c r="C14" s="72" t="s">
        <v>74</v>
      </c>
      <c r="D14" s="71">
        <f>93/3</f>
        <v>31</v>
      </c>
      <c r="E14" s="73" t="s">
        <v>85</v>
      </c>
      <c r="F14" s="73" t="s">
        <v>86</v>
      </c>
      <c r="G14" s="71">
        <v>4</v>
      </c>
      <c r="H14" s="71">
        <v>9</v>
      </c>
      <c r="I14" s="71" t="s">
        <v>579</v>
      </c>
      <c r="J14" s="73" t="s">
        <v>573</v>
      </c>
      <c r="K14" s="73" t="s">
        <v>576</v>
      </c>
      <c r="L14" s="73" t="s">
        <v>543</v>
      </c>
      <c r="M14" s="71"/>
      <c r="N14" s="71"/>
      <c r="O14" s="71"/>
      <c r="P14" s="74" t="b">
        <v>0</v>
      </c>
    </row>
    <row r="15" spans="1:17" s="75" customFormat="1" x14ac:dyDescent="0.35">
      <c r="A15" s="71" t="s">
        <v>574</v>
      </c>
      <c r="B15" s="102" t="s">
        <v>197</v>
      </c>
      <c r="C15" s="72" t="s">
        <v>79</v>
      </c>
      <c r="D15" s="71">
        <f>93/3</f>
        <v>31</v>
      </c>
      <c r="E15" s="73" t="s">
        <v>91</v>
      </c>
      <c r="F15" s="73" t="s">
        <v>86</v>
      </c>
      <c r="G15" s="71">
        <v>4</v>
      </c>
      <c r="H15" s="71">
        <v>8</v>
      </c>
      <c r="I15" s="71" t="s">
        <v>579</v>
      </c>
      <c r="J15" s="73" t="s">
        <v>573</v>
      </c>
      <c r="K15" s="73" t="s">
        <v>576</v>
      </c>
      <c r="L15" s="73" t="s">
        <v>543</v>
      </c>
      <c r="M15" s="71"/>
      <c r="N15" s="71"/>
      <c r="O15" s="71"/>
      <c r="P15" s="74" t="b">
        <v>0</v>
      </c>
    </row>
    <row r="16" spans="1:17" s="75" customFormat="1" x14ac:dyDescent="0.35">
      <c r="A16" s="71" t="s">
        <v>574</v>
      </c>
      <c r="B16" s="102" t="s">
        <v>197</v>
      </c>
      <c r="C16" s="72" t="s">
        <v>81</v>
      </c>
      <c r="D16" s="71">
        <f>93/3</f>
        <v>31</v>
      </c>
      <c r="E16" s="73" t="s">
        <v>82</v>
      </c>
      <c r="F16" s="73" t="s">
        <v>76</v>
      </c>
      <c r="G16" s="71">
        <v>4</v>
      </c>
      <c r="H16" s="71">
        <v>8</v>
      </c>
      <c r="I16" s="71" t="s">
        <v>579</v>
      </c>
      <c r="J16" s="73" t="s">
        <v>573</v>
      </c>
      <c r="K16" s="73" t="s">
        <v>576</v>
      </c>
      <c r="L16" s="73" t="s">
        <v>543</v>
      </c>
      <c r="M16" s="71"/>
      <c r="N16" s="71"/>
      <c r="O16" s="71"/>
      <c r="P16" s="74" t="b">
        <v>0</v>
      </c>
    </row>
    <row r="17" spans="1:16" x14ac:dyDescent="0.35">
      <c r="A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54" t="b">
        <v>0</v>
      </c>
    </row>
    <row r="18" spans="1:16" x14ac:dyDescent="0.35">
      <c r="A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54" t="b">
        <v>0</v>
      </c>
    </row>
    <row r="19" spans="1:16" x14ac:dyDescent="0.35">
      <c r="A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54" t="b">
        <v>0</v>
      </c>
    </row>
    <row r="20" spans="1:16" x14ac:dyDescent="0.35">
      <c r="A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54" t="b">
        <v>0</v>
      </c>
    </row>
    <row r="21" spans="1:16" x14ac:dyDescent="0.35">
      <c r="A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54" t="b">
        <v>0</v>
      </c>
    </row>
    <row r="22" spans="1:16" x14ac:dyDescent="0.35">
      <c r="A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54" t="b">
        <v>0</v>
      </c>
    </row>
    <row r="23" spans="1:16" x14ac:dyDescent="0.35">
      <c r="A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54" t="b">
        <v>0</v>
      </c>
    </row>
    <row r="24" spans="1:16" x14ac:dyDescent="0.35">
      <c r="A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54" t="b">
        <v>0</v>
      </c>
    </row>
    <row r="25" spans="1:16" x14ac:dyDescent="0.35">
      <c r="A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54" t="b">
        <v>0</v>
      </c>
    </row>
    <row r="26" spans="1:16" x14ac:dyDescent="0.35">
      <c r="A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54" t="b">
        <v>0</v>
      </c>
    </row>
    <row r="27" spans="1:16" x14ac:dyDescent="0.35">
      <c r="A27" s="1"/>
      <c r="D27" s="1"/>
      <c r="E27" s="1"/>
      <c r="F27" s="1"/>
      <c r="G27" s="1"/>
      <c r="J27" s="1"/>
      <c r="K27" s="1"/>
      <c r="L27" s="1"/>
      <c r="M27" s="1"/>
      <c r="N27" s="1"/>
      <c r="O27" s="1"/>
      <c r="P27" s="54" t="b">
        <v>0</v>
      </c>
    </row>
    <row r="28" spans="1:16" x14ac:dyDescent="0.35">
      <c r="A28" s="1"/>
      <c r="D28" s="1"/>
      <c r="E28" s="1"/>
      <c r="F28" s="1"/>
      <c r="G28" s="1"/>
      <c r="J28" s="1"/>
      <c r="K28" s="1"/>
      <c r="L28" s="1"/>
      <c r="M28" s="1"/>
      <c r="N28" s="1"/>
      <c r="O28" s="1"/>
      <c r="P28" s="54" t="b">
        <v>0</v>
      </c>
    </row>
    <row r="29" spans="1:16" x14ac:dyDescent="0.35">
      <c r="A29" s="1"/>
      <c r="D29" s="1"/>
      <c r="E29" s="1"/>
      <c r="F29" s="1"/>
      <c r="G29" s="1"/>
      <c r="J29" s="1"/>
      <c r="K29" s="1"/>
      <c r="L29" s="1"/>
      <c r="M29" s="1"/>
      <c r="N29" s="1"/>
      <c r="O29" s="1"/>
      <c r="P29" s="54" t="b">
        <v>0</v>
      </c>
    </row>
    <row r="30" spans="1:16" x14ac:dyDescent="0.35">
      <c r="A30" s="1"/>
      <c r="D30" s="1"/>
      <c r="E30" s="1"/>
      <c r="F30" s="1"/>
      <c r="G30" s="1"/>
      <c r="J30" s="1"/>
      <c r="K30" s="1"/>
      <c r="L30" s="1"/>
      <c r="M30" s="1"/>
      <c r="N30" s="1"/>
      <c r="O30" s="1"/>
      <c r="P30" s="54" t="b">
        <v>0</v>
      </c>
    </row>
    <row r="31" spans="1:16" x14ac:dyDescent="0.35">
      <c r="A31" s="1"/>
      <c r="D31" s="1"/>
      <c r="E31" s="1"/>
      <c r="F31" s="1"/>
      <c r="G31" s="1"/>
      <c r="J31" s="1"/>
      <c r="K31" s="1"/>
      <c r="L31" s="1"/>
      <c r="M31" s="1"/>
      <c r="N31" s="1"/>
      <c r="O31" s="1"/>
      <c r="P31" s="54" t="b">
        <v>0</v>
      </c>
    </row>
    <row r="32" spans="1:16" x14ac:dyDescent="0.35">
      <c r="A32" s="1"/>
      <c r="D32" s="1"/>
      <c r="E32" s="1"/>
      <c r="F32" s="1"/>
      <c r="G32" s="1"/>
      <c r="J32" s="1"/>
      <c r="K32" s="1"/>
      <c r="L32" s="1"/>
      <c r="M32" s="1"/>
      <c r="N32" s="1"/>
      <c r="P32" s="54" t="b">
        <v>0</v>
      </c>
    </row>
    <row r="33" spans="1:16" x14ac:dyDescent="0.35">
      <c r="A33" s="1"/>
      <c r="D33" s="1"/>
      <c r="E33" s="1"/>
      <c r="F33" s="1"/>
      <c r="G33" s="1"/>
      <c r="J33" s="1"/>
      <c r="K33" s="1"/>
      <c r="L33" s="1"/>
      <c r="M33" s="1"/>
      <c r="N33" s="1"/>
      <c r="P33" s="54" t="b">
        <v>0</v>
      </c>
    </row>
    <row r="34" spans="1:16" x14ac:dyDescent="0.35">
      <c r="A34" s="1"/>
      <c r="D34" s="1"/>
      <c r="E34" s="1"/>
      <c r="F34" s="1"/>
      <c r="G34" s="1"/>
      <c r="J34" s="1"/>
      <c r="K34" s="1"/>
      <c r="L34" s="1"/>
      <c r="M34" s="1"/>
      <c r="N34" s="1"/>
      <c r="P34" s="54" t="b">
        <v>0</v>
      </c>
    </row>
    <row r="35" spans="1:16" x14ac:dyDescent="0.35">
      <c r="A35" s="1"/>
      <c r="D35" s="1"/>
      <c r="E35" s="1"/>
      <c r="F35" s="1"/>
      <c r="G35" s="1"/>
      <c r="J35" s="1"/>
      <c r="K35" s="1"/>
      <c r="L35" s="1"/>
      <c r="M35" s="1"/>
      <c r="N35" s="1"/>
      <c r="P35" s="54" t="b">
        <v>0</v>
      </c>
    </row>
    <row r="36" spans="1:16" x14ac:dyDescent="0.35">
      <c r="A36" s="1"/>
      <c r="D36" s="1"/>
      <c r="E36" s="1"/>
      <c r="F36" s="1"/>
      <c r="G36" s="1"/>
      <c r="J36" s="1"/>
      <c r="K36" s="1"/>
      <c r="L36" s="1"/>
      <c r="M36" s="1"/>
      <c r="N36" s="1"/>
      <c r="P36" s="54" t="b">
        <v>0</v>
      </c>
    </row>
    <row r="37" spans="1:16" x14ac:dyDescent="0.35">
      <c r="A37" s="1"/>
      <c r="D37" s="1"/>
      <c r="E37" s="1"/>
      <c r="F37" s="1"/>
      <c r="G37" s="1"/>
      <c r="J37" s="1"/>
      <c r="K37" s="1"/>
      <c r="L37" s="1"/>
      <c r="M37" s="1"/>
      <c r="N37" s="1"/>
      <c r="O37" s="1"/>
      <c r="P37" s="54" t="b">
        <v>0</v>
      </c>
    </row>
    <row r="38" spans="1:16" x14ac:dyDescent="0.35">
      <c r="A38" s="1"/>
      <c r="D38" s="1"/>
      <c r="E38" s="1"/>
      <c r="F38" s="1"/>
      <c r="G38" s="1"/>
      <c r="J38" s="1"/>
      <c r="K38" s="1"/>
      <c r="L38" s="1"/>
      <c r="M38" s="1"/>
      <c r="N38" s="1"/>
      <c r="O38" s="1"/>
      <c r="P38" s="54" t="b">
        <v>0</v>
      </c>
    </row>
    <row r="39" spans="1:16" x14ac:dyDescent="0.35">
      <c r="A39" s="1"/>
      <c r="D39" s="1"/>
      <c r="E39" s="1"/>
      <c r="F39" s="1"/>
      <c r="G39" s="1"/>
      <c r="J39" s="1"/>
      <c r="K39" s="1"/>
      <c r="L39" s="1"/>
      <c r="M39" s="1"/>
      <c r="N39" s="1"/>
      <c r="O39" s="1"/>
      <c r="P39" s="54" t="b">
        <v>0</v>
      </c>
    </row>
    <row r="40" spans="1:16" x14ac:dyDescent="0.35">
      <c r="A40" s="1"/>
      <c r="D40" s="1"/>
      <c r="E40" s="1"/>
      <c r="F40" s="1"/>
      <c r="G40" s="1"/>
      <c r="J40" s="1"/>
      <c r="K40" s="1"/>
      <c r="L40" s="1"/>
      <c r="M40" s="1"/>
      <c r="N40" s="1"/>
      <c r="O40" s="1"/>
      <c r="P40" s="54" t="b">
        <v>0</v>
      </c>
    </row>
    <row r="41" spans="1:16" x14ac:dyDescent="0.35">
      <c r="A41" s="1"/>
      <c r="D41" s="1"/>
      <c r="E41" s="1"/>
      <c r="F41" s="1"/>
      <c r="G41" s="1"/>
      <c r="J41" s="1"/>
      <c r="K41" s="1"/>
      <c r="L41" s="1"/>
      <c r="M41" s="1"/>
      <c r="N41" s="1"/>
      <c r="O41" s="1"/>
      <c r="P41" s="54" t="b">
        <v>0</v>
      </c>
    </row>
    <row r="42" spans="1:16" x14ac:dyDescent="0.35">
      <c r="A42" s="1"/>
      <c r="D42" s="1"/>
      <c r="E42" s="1"/>
      <c r="F42" s="1"/>
      <c r="G42" s="1"/>
      <c r="J42" s="1"/>
      <c r="K42" s="1"/>
      <c r="L42" s="1"/>
      <c r="M42" s="1"/>
      <c r="N42" s="1"/>
      <c r="P42" s="54" t="b">
        <v>0</v>
      </c>
    </row>
    <row r="43" spans="1:16" x14ac:dyDescent="0.35">
      <c r="A43" s="1"/>
      <c r="D43" s="1"/>
      <c r="E43" s="1"/>
      <c r="F43" s="1"/>
      <c r="G43" s="1"/>
      <c r="J43" s="1"/>
      <c r="K43" s="1"/>
      <c r="L43" s="1"/>
      <c r="M43" s="1"/>
      <c r="N43" s="1"/>
      <c r="P43" s="54" t="b">
        <v>0</v>
      </c>
    </row>
    <row r="44" spans="1:16" x14ac:dyDescent="0.35">
      <c r="A44" s="1"/>
      <c r="D44" s="1"/>
      <c r="E44" s="1"/>
      <c r="F44" s="1"/>
      <c r="G44" s="1"/>
      <c r="J44" s="1"/>
      <c r="K44" s="1"/>
      <c r="L44" s="1"/>
      <c r="M44" s="1"/>
      <c r="N44" s="1"/>
      <c r="P44" s="54" t="b">
        <v>0</v>
      </c>
    </row>
    <row r="45" spans="1:16" x14ac:dyDescent="0.35">
      <c r="A45" s="1"/>
      <c r="D45" s="1"/>
      <c r="E45" s="1"/>
      <c r="F45" s="1"/>
      <c r="G45" s="1"/>
      <c r="J45" s="1"/>
      <c r="K45" s="1"/>
      <c r="L45" s="1"/>
      <c r="M45" s="1"/>
      <c r="N45" s="1"/>
      <c r="P45" s="54" t="b">
        <v>0</v>
      </c>
    </row>
    <row r="46" spans="1:16" x14ac:dyDescent="0.35">
      <c r="A46" s="1"/>
      <c r="D46" s="1"/>
      <c r="E46" s="1"/>
      <c r="F46" s="1"/>
      <c r="G46" s="1"/>
      <c r="J46" s="1"/>
      <c r="K46" s="1"/>
      <c r="L46" s="1"/>
      <c r="M46" s="1"/>
      <c r="N46" s="1"/>
      <c r="P46" s="54" t="b">
        <v>0</v>
      </c>
    </row>
    <row r="47" spans="1:16" x14ac:dyDescent="0.35">
      <c r="A47" s="1"/>
      <c r="D47" s="1"/>
      <c r="F47" s="59"/>
      <c r="G47" s="1"/>
      <c r="I47" s="2"/>
      <c r="J47" s="1"/>
      <c r="N47" s="1"/>
      <c r="P47" s="54" t="b">
        <v>0</v>
      </c>
    </row>
    <row r="48" spans="1:16" x14ac:dyDescent="0.35">
      <c r="A48" s="1"/>
      <c r="D48" s="1"/>
      <c r="F48" s="1"/>
      <c r="G48" s="1"/>
      <c r="I48" s="2"/>
      <c r="J48" s="1"/>
      <c r="N48" s="1"/>
      <c r="P48" s="54" t="b">
        <v>0</v>
      </c>
    </row>
    <row r="49" spans="1:16" x14ac:dyDescent="0.35">
      <c r="A49" s="1"/>
      <c r="D49" s="1"/>
      <c r="F49" s="59"/>
      <c r="G49" s="1"/>
      <c r="I49" s="2"/>
      <c r="J49" s="1"/>
      <c r="N49" s="1"/>
      <c r="P49" s="54" t="b">
        <v>0</v>
      </c>
    </row>
    <row r="50" spans="1:16" x14ac:dyDescent="0.35">
      <c r="A50" s="1"/>
      <c r="D50" s="1"/>
      <c r="F50" s="1"/>
      <c r="G50" s="1"/>
      <c r="I50" s="2"/>
      <c r="J50" s="1"/>
      <c r="N50" s="1"/>
      <c r="P50" s="54" t="b">
        <v>0</v>
      </c>
    </row>
    <row r="51" spans="1:16" x14ac:dyDescent="0.35">
      <c r="A51" s="1"/>
      <c r="D51" s="1"/>
      <c r="F51" s="59"/>
      <c r="G51" s="1"/>
      <c r="I51" s="2"/>
      <c r="J51" s="1"/>
      <c r="N51" s="1"/>
      <c r="P51" s="54" t="b">
        <v>0</v>
      </c>
    </row>
    <row r="52" spans="1:16" x14ac:dyDescent="0.35">
      <c r="A52" s="1"/>
      <c r="D52" s="1"/>
      <c r="F52" s="1"/>
      <c r="G52" s="1"/>
      <c r="I52" s="2"/>
      <c r="J52" s="1"/>
      <c r="N52" s="1"/>
      <c r="P52" s="54" t="b">
        <v>0</v>
      </c>
    </row>
    <row r="53" spans="1:16" x14ac:dyDescent="0.35">
      <c r="A53" s="1"/>
      <c r="D53" s="1"/>
      <c r="F53" s="59"/>
      <c r="G53" s="1"/>
      <c r="I53" s="2"/>
      <c r="J53" s="1"/>
      <c r="N53" s="1"/>
      <c r="P53" s="54" t="b">
        <v>0</v>
      </c>
    </row>
    <row r="54" spans="1:16" x14ac:dyDescent="0.35">
      <c r="A54" s="1"/>
      <c r="D54" s="1"/>
      <c r="F54" s="1"/>
      <c r="G54" s="1"/>
      <c r="I54" s="2"/>
      <c r="J54" s="1"/>
      <c r="N54" s="1"/>
      <c r="P54" s="54" t="b">
        <v>0</v>
      </c>
    </row>
    <row r="55" spans="1:16" x14ac:dyDescent="0.35">
      <c r="A55" s="1"/>
      <c r="D55" s="1"/>
      <c r="F55" s="59"/>
      <c r="G55" s="1"/>
      <c r="I55" s="2"/>
      <c r="J55" s="1"/>
      <c r="N55" s="1"/>
      <c r="P55" s="54" t="b">
        <v>0</v>
      </c>
    </row>
    <row r="56" spans="1:16" x14ac:dyDescent="0.35">
      <c r="A56" s="1"/>
      <c r="D56" s="1"/>
      <c r="F56" s="1"/>
      <c r="G56" s="1"/>
      <c r="I56" s="2"/>
      <c r="J56" s="1"/>
      <c r="N56" s="1"/>
      <c r="P56" s="54" t="b">
        <v>0</v>
      </c>
    </row>
    <row r="57" spans="1:16" x14ac:dyDescent="0.35">
      <c r="A57" s="1"/>
      <c r="D57" s="1"/>
      <c r="F57" s="1"/>
      <c r="G57" s="1"/>
      <c r="J57" s="1"/>
      <c r="N57" s="1"/>
      <c r="P57" s="54" t="b">
        <v>0</v>
      </c>
    </row>
    <row r="58" spans="1:16" x14ac:dyDescent="0.35">
      <c r="A58" s="1"/>
      <c r="D58" s="1"/>
      <c r="F58" s="1"/>
      <c r="G58" s="1"/>
      <c r="J58" s="1"/>
      <c r="N58" s="1"/>
      <c r="P58" s="54" t="b">
        <v>0</v>
      </c>
    </row>
    <row r="59" spans="1:16" x14ac:dyDescent="0.35">
      <c r="A59" s="1"/>
      <c r="D59" s="1"/>
      <c r="F59" s="1"/>
      <c r="G59" s="1"/>
      <c r="J59" s="1"/>
      <c r="N59" s="1"/>
      <c r="P59" s="54" t="b">
        <v>0</v>
      </c>
    </row>
    <row r="60" spans="1:16" x14ac:dyDescent="0.35">
      <c r="A60" s="1"/>
      <c r="D60" s="1"/>
      <c r="F60" s="1"/>
      <c r="G60" s="1"/>
      <c r="J60" s="1"/>
      <c r="N60" s="1"/>
      <c r="P60" s="54" t="b">
        <v>0</v>
      </c>
    </row>
    <row r="61" spans="1:16" x14ac:dyDescent="0.35">
      <c r="A61" s="1"/>
      <c r="D61" s="1"/>
      <c r="F61" s="1"/>
      <c r="G61" s="1"/>
      <c r="J61" s="1"/>
      <c r="N61" s="1"/>
      <c r="P61" s="54" t="b">
        <v>0</v>
      </c>
    </row>
    <row r="62" spans="1:16" x14ac:dyDescent="0.35">
      <c r="A62" s="1"/>
      <c r="D62" s="1"/>
      <c r="F62" s="1"/>
      <c r="G62" s="1"/>
      <c r="J62" s="1"/>
      <c r="N62" s="1"/>
      <c r="P62" s="54" t="b">
        <v>0</v>
      </c>
    </row>
    <row r="63" spans="1:16" x14ac:dyDescent="0.35">
      <c r="A63" s="1"/>
      <c r="D63" s="1"/>
      <c r="F63" s="1"/>
      <c r="G63" s="1"/>
      <c r="J63" s="1"/>
      <c r="N63" s="1"/>
      <c r="P63" s="54" t="b">
        <v>0</v>
      </c>
    </row>
    <row r="64" spans="1:16" x14ac:dyDescent="0.35">
      <c r="A64" s="1"/>
      <c r="D64" s="1"/>
      <c r="F64" s="1"/>
      <c r="G64" s="1"/>
      <c r="J64" s="1"/>
      <c r="N64" s="1"/>
      <c r="P64" s="54" t="b">
        <v>0</v>
      </c>
    </row>
    <row r="65" spans="1:16" x14ac:dyDescent="0.35">
      <c r="A65" s="1"/>
      <c r="D65" s="1"/>
      <c r="F65" s="1"/>
      <c r="G65" s="1"/>
      <c r="J65" s="1"/>
      <c r="N65" s="1"/>
      <c r="P65" s="54" t="b">
        <v>0</v>
      </c>
    </row>
    <row r="66" spans="1:16" x14ac:dyDescent="0.35">
      <c r="A66" s="1"/>
      <c r="D66" s="1"/>
      <c r="F66" s="1"/>
      <c r="G66" s="1"/>
      <c r="J66" s="1"/>
      <c r="N66" s="1"/>
      <c r="P66" s="54" t="b">
        <v>0</v>
      </c>
    </row>
    <row r="67" spans="1:16" x14ac:dyDescent="0.35">
      <c r="A67" s="1"/>
      <c r="D67" s="1"/>
      <c r="F67" s="1"/>
      <c r="G67" s="1"/>
      <c r="J67" s="1"/>
      <c r="N67" s="1"/>
      <c r="P67" s="54" t="b">
        <v>0</v>
      </c>
    </row>
    <row r="68" spans="1:16" x14ac:dyDescent="0.35">
      <c r="A68" s="1"/>
      <c r="D68" s="1"/>
      <c r="F68" s="1"/>
      <c r="G68" s="1"/>
      <c r="J68" s="1"/>
      <c r="N68" s="1"/>
      <c r="P68" s="54" t="b">
        <v>0</v>
      </c>
    </row>
    <row r="69" spans="1:16" x14ac:dyDescent="0.35">
      <c r="A69" s="1"/>
      <c r="D69" s="1"/>
      <c r="F69" s="1"/>
      <c r="G69" s="1"/>
      <c r="J69" s="1"/>
      <c r="N69" s="1"/>
      <c r="P69" s="54" t="b">
        <v>0</v>
      </c>
    </row>
    <row r="70" spans="1:16" x14ac:dyDescent="0.35">
      <c r="A70" s="1"/>
      <c r="D70" s="1"/>
      <c r="F70" s="1"/>
      <c r="G70" s="1"/>
      <c r="J70" s="1"/>
      <c r="N70" s="1"/>
      <c r="P70" s="54" t="b">
        <v>0</v>
      </c>
    </row>
    <row r="71" spans="1:16" x14ac:dyDescent="0.35">
      <c r="A71" s="1"/>
      <c r="D71" s="1"/>
      <c r="F71" s="1"/>
      <c r="G71" s="1"/>
      <c r="J71" s="1"/>
      <c r="N71" s="1"/>
      <c r="P71" s="54" t="b">
        <v>0</v>
      </c>
    </row>
    <row r="72" spans="1:16" x14ac:dyDescent="0.35">
      <c r="A72" s="1"/>
      <c r="D72" s="1"/>
      <c r="F72" s="1"/>
      <c r="G72" s="1"/>
      <c r="J72" s="1"/>
      <c r="N72" s="1"/>
      <c r="P72" s="54" t="b">
        <v>0</v>
      </c>
    </row>
    <row r="73" spans="1:16" x14ac:dyDescent="0.35">
      <c r="A73" s="1"/>
      <c r="D73" s="1"/>
      <c r="F73" s="1"/>
      <c r="G73" s="1"/>
      <c r="J73" s="1"/>
      <c r="N73" s="1"/>
      <c r="P73" s="54" t="b">
        <v>0</v>
      </c>
    </row>
    <row r="74" spans="1:16" x14ac:dyDescent="0.35">
      <c r="A74" s="1"/>
      <c r="D74" s="1"/>
      <c r="F74" s="1"/>
      <c r="G74" s="1"/>
      <c r="J74" s="1"/>
      <c r="N74" s="1"/>
      <c r="P74" s="54" t="b">
        <v>0</v>
      </c>
    </row>
    <row r="75" spans="1:16" x14ac:dyDescent="0.35">
      <c r="A75" s="1"/>
      <c r="D75" s="1"/>
      <c r="F75" s="1"/>
      <c r="G75" s="1"/>
      <c r="J75" s="1"/>
      <c r="N75" s="1"/>
      <c r="P75" s="54" t="b">
        <v>0</v>
      </c>
    </row>
    <row r="76" spans="1:16" x14ac:dyDescent="0.35">
      <c r="A76" s="1"/>
      <c r="D76" s="1"/>
      <c r="F76" s="1"/>
      <c r="G76" s="1"/>
      <c r="J76" s="1"/>
      <c r="N76" s="1"/>
      <c r="P76" s="54" t="b">
        <v>0</v>
      </c>
    </row>
    <row r="77" spans="1:16" x14ac:dyDescent="0.35">
      <c r="A77" s="1"/>
      <c r="D77" s="1"/>
      <c r="F77" s="1"/>
      <c r="G77" s="1"/>
      <c r="J77" s="1"/>
      <c r="N77" s="1"/>
      <c r="P77" s="54" t="b">
        <v>0</v>
      </c>
    </row>
    <row r="78" spans="1:16" x14ac:dyDescent="0.35">
      <c r="A78" s="1"/>
      <c r="D78" s="1"/>
      <c r="F78" s="1"/>
      <c r="G78" s="1"/>
      <c r="J78" s="1"/>
      <c r="N78" s="1"/>
      <c r="P78" s="54" t="b">
        <v>0</v>
      </c>
    </row>
    <row r="79" spans="1:16" x14ac:dyDescent="0.35">
      <c r="A79" s="1"/>
      <c r="D79" s="1"/>
      <c r="F79" s="1"/>
      <c r="G79" s="1"/>
      <c r="J79" s="1"/>
      <c r="N79" s="1"/>
      <c r="P79" s="54" t="b">
        <v>0</v>
      </c>
    </row>
    <row r="80" spans="1:16" x14ac:dyDescent="0.35">
      <c r="A80" s="1"/>
      <c r="D80" s="1"/>
      <c r="F80" s="1"/>
      <c r="G80" s="1"/>
      <c r="J80" s="1"/>
      <c r="N80" s="1"/>
      <c r="P80" s="54" t="b">
        <v>0</v>
      </c>
    </row>
    <row r="81" spans="1:16" x14ac:dyDescent="0.35">
      <c r="A81" s="1"/>
      <c r="D81" s="1"/>
      <c r="F81" s="1"/>
      <c r="G81" s="1"/>
      <c r="J81" s="1"/>
      <c r="N81" s="1"/>
      <c r="P81" s="54" t="b">
        <v>0</v>
      </c>
    </row>
    <row r="82" spans="1:16" x14ac:dyDescent="0.35">
      <c r="A82" s="1"/>
      <c r="D82" s="1"/>
      <c r="F82" s="1"/>
      <c r="G82" s="1"/>
      <c r="J82" s="1"/>
      <c r="N82" s="1"/>
      <c r="P82" s="54" t="b">
        <v>0</v>
      </c>
    </row>
    <row r="83" spans="1:16" x14ac:dyDescent="0.35">
      <c r="A83" s="1"/>
      <c r="D83" s="1"/>
      <c r="F83" s="1"/>
      <c r="G83" s="1"/>
      <c r="J83" s="1"/>
      <c r="N83" s="1"/>
      <c r="P83" s="54" t="b">
        <v>0</v>
      </c>
    </row>
    <row r="84" spans="1:16" x14ac:dyDescent="0.35">
      <c r="A84" s="1"/>
      <c r="D84" s="1"/>
      <c r="F84" s="1"/>
      <c r="G84" s="1"/>
      <c r="J84" s="1"/>
      <c r="N84" s="1"/>
      <c r="P84" s="54" t="b">
        <v>0</v>
      </c>
    </row>
    <row r="85" spans="1:16" x14ac:dyDescent="0.35">
      <c r="A85" s="1"/>
      <c r="D85" s="1"/>
      <c r="F85" s="1"/>
      <c r="G85" s="1"/>
      <c r="J85" s="1"/>
      <c r="N85" s="1"/>
      <c r="P85" s="54" t="b">
        <v>0</v>
      </c>
    </row>
    <row r="86" spans="1:16" x14ac:dyDescent="0.35">
      <c r="A86" s="1"/>
      <c r="D86" s="1"/>
      <c r="F86" s="1"/>
      <c r="G86" s="1"/>
      <c r="J86" s="1"/>
      <c r="N86" s="1"/>
      <c r="P86" s="54" t="b">
        <v>0</v>
      </c>
    </row>
    <row r="87" spans="1:16" x14ac:dyDescent="0.35">
      <c r="A87" s="1"/>
      <c r="F87" s="1"/>
      <c r="G87" s="1"/>
      <c r="J87" s="1"/>
      <c r="N87" s="1"/>
      <c r="P87" s="54" t="b">
        <v>0</v>
      </c>
    </row>
    <row r="88" spans="1:16" x14ac:dyDescent="0.35">
      <c r="A88" s="1"/>
      <c r="F88" s="1"/>
      <c r="G88" s="1"/>
      <c r="J88" s="1"/>
      <c r="N88" s="1"/>
      <c r="P88" s="54" t="b">
        <v>0</v>
      </c>
    </row>
    <row r="89" spans="1:16" x14ac:dyDescent="0.35">
      <c r="A89" s="1"/>
      <c r="F89" s="1"/>
      <c r="G89" s="1"/>
      <c r="J89" s="1"/>
      <c r="N89" s="1"/>
      <c r="P89" s="54" t="b">
        <v>0</v>
      </c>
    </row>
    <row r="90" spans="1:16" x14ac:dyDescent="0.35">
      <c r="A90" s="1"/>
      <c r="F90" s="1"/>
      <c r="G90" s="1"/>
      <c r="J90" s="1"/>
      <c r="N90" s="1"/>
      <c r="P90" s="54" t="b">
        <v>0</v>
      </c>
    </row>
    <row r="91" spans="1:16" x14ac:dyDescent="0.35">
      <c r="A91" s="1"/>
      <c r="F91" s="1"/>
      <c r="G91" s="1"/>
      <c r="J91" s="1"/>
      <c r="N91" s="1"/>
      <c r="P91" s="54" t="b">
        <v>0</v>
      </c>
    </row>
    <row r="92" spans="1:16" x14ac:dyDescent="0.35">
      <c r="A92" s="1"/>
      <c r="F92" s="1"/>
      <c r="G92" s="1"/>
      <c r="J92" s="1"/>
      <c r="N92" s="1"/>
      <c r="P92" s="54" t="b">
        <v>0</v>
      </c>
    </row>
    <row r="93" spans="1:16" x14ac:dyDescent="0.35">
      <c r="A93" s="1"/>
      <c r="F93" s="1"/>
      <c r="G93" s="1"/>
      <c r="J93" s="1"/>
      <c r="N93" s="1"/>
      <c r="P93" s="54" t="b">
        <v>0</v>
      </c>
    </row>
    <row r="94" spans="1:16" x14ac:dyDescent="0.35">
      <c r="A94" s="1"/>
      <c r="F94" s="1"/>
      <c r="G94" s="1"/>
      <c r="J94" s="1"/>
      <c r="N94" s="1"/>
      <c r="P94" s="54" t="b">
        <v>0</v>
      </c>
    </row>
    <row r="95" spans="1:16" x14ac:dyDescent="0.35">
      <c r="A95" s="1"/>
      <c r="F95" s="1"/>
      <c r="G95" s="1"/>
      <c r="J95" s="1"/>
      <c r="N95" s="1"/>
      <c r="P95" s="54" t="b">
        <v>0</v>
      </c>
    </row>
    <row r="96" spans="1:16" x14ac:dyDescent="0.35">
      <c r="A96" s="1"/>
      <c r="F96" s="1"/>
      <c r="G96" s="1"/>
      <c r="J96" s="1"/>
      <c r="N96" s="1"/>
      <c r="P96" s="54" t="b">
        <v>0</v>
      </c>
    </row>
    <row r="97" spans="1:16" x14ac:dyDescent="0.35">
      <c r="A97" s="1"/>
      <c r="F97" s="1"/>
      <c r="G97" s="1"/>
      <c r="J97" s="1"/>
      <c r="N97" s="1"/>
      <c r="P97" s="54" t="b">
        <v>0</v>
      </c>
    </row>
    <row r="98" spans="1:16" x14ac:dyDescent="0.35">
      <c r="A98" s="1"/>
      <c r="F98" s="1"/>
      <c r="G98" s="1"/>
      <c r="J98" s="1"/>
      <c r="N98" s="1"/>
      <c r="P98" s="54" t="b">
        <v>0</v>
      </c>
    </row>
    <row r="99" spans="1:16" x14ac:dyDescent="0.35">
      <c r="A99" s="1"/>
      <c r="F99" s="1"/>
      <c r="G99" s="1"/>
      <c r="J99" s="1"/>
      <c r="N99" s="1"/>
      <c r="P99" s="54" t="b">
        <v>0</v>
      </c>
    </row>
    <row r="100" spans="1:16" x14ac:dyDescent="0.35">
      <c r="A100" s="1"/>
      <c r="F100" s="1"/>
      <c r="G100" s="1"/>
      <c r="J100" s="1"/>
      <c r="N100" s="1"/>
      <c r="P100" s="54" t="b">
        <v>0</v>
      </c>
    </row>
    <row r="101" spans="1:16" x14ac:dyDescent="0.35">
      <c r="A101" s="1"/>
      <c r="F101" s="1"/>
      <c r="G101" s="1"/>
      <c r="J101" s="1"/>
      <c r="N101" s="1"/>
      <c r="P101" s="54" t="b">
        <v>0</v>
      </c>
    </row>
    <row r="102" spans="1:16" x14ac:dyDescent="0.35">
      <c r="A102" s="1"/>
      <c r="F102" s="1"/>
      <c r="G102" s="1"/>
      <c r="J102" s="1"/>
      <c r="N102" s="1"/>
      <c r="P102" s="54" t="b">
        <v>0</v>
      </c>
    </row>
    <row r="103" spans="1:16" x14ac:dyDescent="0.35">
      <c r="A103" s="1"/>
      <c r="F103" s="1"/>
      <c r="G103" s="1"/>
      <c r="J103" s="1"/>
      <c r="N103" s="1"/>
      <c r="P103" s="54" t="b">
        <v>0</v>
      </c>
    </row>
    <row r="104" spans="1:16" x14ac:dyDescent="0.35">
      <c r="A104" s="1"/>
      <c r="F104" s="1"/>
      <c r="G104" s="1"/>
      <c r="J104" s="1"/>
      <c r="N104" s="1"/>
      <c r="P104" s="54" t="b">
        <v>0</v>
      </c>
    </row>
    <row r="105" spans="1:16" x14ac:dyDescent="0.35">
      <c r="A105" s="1"/>
      <c r="F105" s="1"/>
      <c r="G105" s="1"/>
      <c r="J105" s="1"/>
      <c r="N105" s="1"/>
      <c r="P105" s="54" t="b">
        <v>0</v>
      </c>
    </row>
    <row r="106" spans="1:16" x14ac:dyDescent="0.35">
      <c r="A106" s="1"/>
      <c r="F106" s="1"/>
      <c r="G106" s="1"/>
      <c r="J106" s="1"/>
      <c r="N106" s="1"/>
      <c r="P106" s="54" t="b">
        <v>0</v>
      </c>
    </row>
    <row r="107" spans="1:16" x14ac:dyDescent="0.35">
      <c r="A107" s="1"/>
      <c r="F107" s="1"/>
      <c r="G107" s="1"/>
      <c r="J107" s="1"/>
      <c r="N107" s="1"/>
      <c r="P107" s="54" t="b">
        <v>0</v>
      </c>
    </row>
    <row r="108" spans="1:16" x14ac:dyDescent="0.35">
      <c r="A108" s="1"/>
      <c r="F108" s="1"/>
      <c r="G108" s="1"/>
      <c r="J108" s="1"/>
      <c r="N108" s="1"/>
      <c r="P108" s="54" t="b">
        <v>0</v>
      </c>
    </row>
    <row r="109" spans="1:16" x14ac:dyDescent="0.35">
      <c r="A109" s="1"/>
      <c r="F109" s="1"/>
      <c r="G109" s="1"/>
      <c r="J109" s="1"/>
      <c r="N109" s="1"/>
      <c r="P109" s="54" t="b">
        <v>0</v>
      </c>
    </row>
    <row r="110" spans="1:16" x14ac:dyDescent="0.35">
      <c r="A110" s="1"/>
      <c r="F110" s="1"/>
      <c r="G110" s="1"/>
      <c r="J110" s="1"/>
      <c r="N110" s="1"/>
      <c r="P110" s="54" t="b">
        <v>0</v>
      </c>
    </row>
    <row r="111" spans="1:16" x14ac:dyDescent="0.35">
      <c r="A111" s="1"/>
      <c r="F111" s="1"/>
      <c r="G111" s="1"/>
      <c r="J111" s="1"/>
      <c r="N111" s="1"/>
      <c r="P111" s="54" t="b">
        <v>0</v>
      </c>
    </row>
    <row r="112" spans="1:16" x14ac:dyDescent="0.35">
      <c r="A112" s="1"/>
      <c r="F112" s="1"/>
      <c r="G112" s="1"/>
      <c r="J112" s="1"/>
      <c r="N112" s="1"/>
      <c r="P112" s="54" t="b">
        <v>0</v>
      </c>
    </row>
    <row r="113" spans="1:16" x14ac:dyDescent="0.35">
      <c r="A113" s="1"/>
      <c r="F113" s="1"/>
      <c r="G113" s="1"/>
      <c r="J113" s="1"/>
      <c r="N113" s="1"/>
      <c r="P113" s="54" t="b">
        <v>0</v>
      </c>
    </row>
    <row r="114" spans="1:16" x14ac:dyDescent="0.35">
      <c r="A114" s="1"/>
      <c r="F114" s="1"/>
      <c r="G114" s="1"/>
      <c r="J114" s="1"/>
      <c r="N114" s="1"/>
      <c r="P114" s="54" t="b">
        <v>0</v>
      </c>
    </row>
    <row r="115" spans="1:16" x14ac:dyDescent="0.35">
      <c r="A115" s="1"/>
      <c r="F115" s="1"/>
      <c r="G115" s="1"/>
      <c r="J115" s="1"/>
      <c r="N115" s="1"/>
      <c r="P115" s="54" t="b">
        <v>0</v>
      </c>
    </row>
    <row r="116" spans="1:16" x14ac:dyDescent="0.35">
      <c r="A116" s="1"/>
      <c r="F116" s="1"/>
      <c r="G116" s="1"/>
      <c r="J116" s="1"/>
      <c r="N116" s="1"/>
      <c r="P116" s="54" t="b">
        <v>0</v>
      </c>
    </row>
    <row r="117" spans="1:16" x14ac:dyDescent="0.35">
      <c r="A117" s="1"/>
      <c r="F117" s="1"/>
      <c r="G117" s="1"/>
      <c r="J117" s="1"/>
      <c r="N117" s="1"/>
      <c r="P117" s="54" t="b">
        <v>0</v>
      </c>
    </row>
    <row r="118" spans="1:16" x14ac:dyDescent="0.35">
      <c r="A118" s="1"/>
      <c r="F118" s="1"/>
      <c r="G118" s="1"/>
      <c r="J118" s="1"/>
      <c r="N118" s="1"/>
      <c r="P118" s="54" t="b">
        <v>0</v>
      </c>
    </row>
    <row r="119" spans="1:16" x14ac:dyDescent="0.35">
      <c r="A119" s="1"/>
      <c r="F119" s="1"/>
      <c r="G119" s="1"/>
      <c r="J119" s="1"/>
      <c r="N119" s="1"/>
      <c r="P119" s="54" t="b">
        <v>0</v>
      </c>
    </row>
    <row r="120" spans="1:16" x14ac:dyDescent="0.35">
      <c r="A120" s="1"/>
      <c r="F120" s="1"/>
      <c r="G120" s="1"/>
      <c r="J120" s="1"/>
      <c r="N120" s="1"/>
      <c r="P120" s="54" t="b">
        <v>0</v>
      </c>
    </row>
    <row r="121" spans="1:16" x14ac:dyDescent="0.35">
      <c r="A121" s="1"/>
      <c r="F121" s="1"/>
      <c r="G121" s="1"/>
      <c r="J121" s="1"/>
      <c r="N121" s="1"/>
      <c r="P121" s="54" t="b">
        <v>0</v>
      </c>
    </row>
    <row r="122" spans="1:16" x14ac:dyDescent="0.35">
      <c r="A122" s="1"/>
      <c r="F122" s="1"/>
      <c r="G122" s="1"/>
      <c r="J122" s="1"/>
      <c r="N122" s="1"/>
      <c r="P122" s="54" t="b">
        <v>0</v>
      </c>
    </row>
    <row r="123" spans="1:16" x14ac:dyDescent="0.35">
      <c r="A123" s="1"/>
      <c r="F123" s="1"/>
      <c r="G123" s="1"/>
      <c r="J123" s="1"/>
      <c r="N123" s="1"/>
      <c r="P123" s="54" t="b">
        <v>0</v>
      </c>
    </row>
    <row r="124" spans="1:16" x14ac:dyDescent="0.35">
      <c r="A124" s="1"/>
      <c r="F124" s="1"/>
      <c r="G124" s="1"/>
      <c r="J124" s="1"/>
      <c r="N124" s="1"/>
      <c r="P124" s="54" t="b">
        <v>0</v>
      </c>
    </row>
    <row r="125" spans="1:16" x14ac:dyDescent="0.35">
      <c r="A125" s="1"/>
      <c r="F125" s="1"/>
      <c r="G125" s="1"/>
      <c r="J125" s="1"/>
      <c r="N125" s="1"/>
      <c r="P125" s="54" t="b">
        <v>0</v>
      </c>
    </row>
    <row r="126" spans="1:16" x14ac:dyDescent="0.35">
      <c r="A126" s="1"/>
      <c r="F126" s="1"/>
      <c r="G126" s="1"/>
      <c r="J126" s="1"/>
      <c r="N126" s="1"/>
      <c r="P126" s="54" t="b">
        <v>0</v>
      </c>
    </row>
    <row r="127" spans="1:16" x14ac:dyDescent="0.35">
      <c r="A127" s="1"/>
      <c r="F127" s="1"/>
      <c r="G127" s="1"/>
      <c r="J127" s="1"/>
      <c r="N127" s="1"/>
      <c r="P127" s="54" t="b">
        <v>0</v>
      </c>
    </row>
    <row r="128" spans="1:16" x14ac:dyDescent="0.35">
      <c r="A128" s="1"/>
      <c r="F128" s="1"/>
      <c r="G128" s="1"/>
      <c r="J128" s="1"/>
      <c r="N128" s="1"/>
      <c r="P128" s="54" t="b">
        <v>0</v>
      </c>
    </row>
    <row r="129" spans="1:16" x14ac:dyDescent="0.35">
      <c r="A129" s="1"/>
      <c r="F129" s="1"/>
      <c r="G129" s="1"/>
      <c r="J129" s="1"/>
      <c r="N129" s="1"/>
      <c r="P129" s="54" t="b">
        <v>0</v>
      </c>
    </row>
    <row r="130" spans="1:16" x14ac:dyDescent="0.35">
      <c r="A130" s="1"/>
      <c r="F130" s="1"/>
      <c r="G130" s="1"/>
      <c r="J130" s="1"/>
      <c r="N130" s="1"/>
      <c r="P130" s="54" t="b">
        <v>0</v>
      </c>
    </row>
    <row r="131" spans="1:16" x14ac:dyDescent="0.35">
      <c r="A131" s="1"/>
      <c r="F131" s="1"/>
      <c r="G131" s="1"/>
      <c r="J131" s="1"/>
      <c r="N131" s="1"/>
      <c r="P131" s="54" t="b">
        <v>0</v>
      </c>
    </row>
    <row r="132" spans="1:16" x14ac:dyDescent="0.35">
      <c r="A132" s="1"/>
      <c r="F132" s="1"/>
      <c r="G132" s="1"/>
      <c r="J132" s="1"/>
      <c r="N132" s="1"/>
      <c r="P132" s="54" t="b">
        <v>0</v>
      </c>
    </row>
    <row r="133" spans="1:16" x14ac:dyDescent="0.35">
      <c r="A133" s="1"/>
      <c r="F133" s="1"/>
      <c r="G133" s="1"/>
      <c r="J133" s="1"/>
      <c r="N133" s="1"/>
      <c r="P133" s="54" t="b">
        <v>0</v>
      </c>
    </row>
    <row r="134" spans="1:16" x14ac:dyDescent="0.35">
      <c r="A134" s="1"/>
      <c r="F134" s="1"/>
      <c r="G134" s="1"/>
      <c r="J134" s="1"/>
      <c r="N134" s="1"/>
      <c r="P134" s="54" t="b">
        <v>0</v>
      </c>
    </row>
    <row r="135" spans="1:16" x14ac:dyDescent="0.35">
      <c r="A135" s="1"/>
      <c r="F135" s="1"/>
      <c r="G135" s="1"/>
      <c r="J135" s="1"/>
      <c r="N135" s="1"/>
      <c r="P135" s="54" t="b">
        <v>0</v>
      </c>
    </row>
    <row r="136" spans="1:16" x14ac:dyDescent="0.35">
      <c r="A136" s="1"/>
      <c r="F136" s="1"/>
      <c r="G136" s="1"/>
      <c r="J136" s="1"/>
      <c r="N136" s="1"/>
      <c r="P136" s="54" t="b">
        <v>0</v>
      </c>
    </row>
    <row r="137" spans="1:16" x14ac:dyDescent="0.35">
      <c r="A137" s="1"/>
      <c r="F137" s="1"/>
      <c r="G137" s="1"/>
      <c r="J137" s="1"/>
      <c r="N137" s="1"/>
      <c r="P137" s="54" t="b">
        <v>0</v>
      </c>
    </row>
    <row r="138" spans="1:16" x14ac:dyDescent="0.35">
      <c r="A138" s="1"/>
      <c r="F138" s="1"/>
      <c r="G138" s="1"/>
      <c r="J138" s="1"/>
      <c r="N138" s="1"/>
      <c r="P138" s="54" t="b">
        <v>0</v>
      </c>
    </row>
  </sheetData>
  <autoFilter ref="A2:Q138" xr:uid="{3CAEE4FC-F05E-4E3D-914B-A31C238D8C64}">
    <filterColumn colId="0">
      <filters blank="1">
        <filter val="CVE/Y2"/>
      </filters>
    </filterColumn>
  </autoFilter>
  <dataValidations count="2">
    <dataValidation type="list" allowBlank="1" showInputMessage="1" showErrorMessage="1" sqref="N139:N1048576 O32:O36 O42:O1048576" xr:uid="{52BA4356-3E1B-4C5A-9ED0-AC640ED53E3A}">
      <formula1>#REF!</formula1>
    </dataValidation>
    <dataValidation type="list" allowBlank="1" showInputMessage="1" showErrorMessage="1" sqref="J139:J1048576" xr:uid="{48288093-4B2D-4862-8BAC-B978EFC17C64}">
      <formula1>$B$3:$B$372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4B5B-7C46-4285-BAAF-B7ACC6E58750}">
  <dimension ref="A1:U138"/>
  <sheetViews>
    <sheetView topLeftCell="A29" zoomScale="85" zoomScaleNormal="85" workbookViewId="0">
      <selection activeCell="D33" sqref="D33"/>
    </sheetView>
  </sheetViews>
  <sheetFormatPr defaultColWidth="8.81640625" defaultRowHeight="14.5" x14ac:dyDescent="0.35"/>
  <cols>
    <col min="1" max="1" width="8.453125" style="4" customWidth="1"/>
    <col min="2" max="2" width="19" style="4" bestFit="1" customWidth="1"/>
    <col min="3" max="3" width="26.81640625" style="4" customWidth="1"/>
    <col min="4" max="4" width="13.81640625" style="4" customWidth="1"/>
    <col min="5" max="6" width="12.54296875" style="4" customWidth="1"/>
    <col min="7" max="7" width="11.81640625" style="4" customWidth="1"/>
    <col min="8" max="8" width="26.81640625" style="4" customWidth="1"/>
    <col min="9" max="9" width="71.453125" style="4" bestFit="1" customWidth="1"/>
    <col min="10" max="10" width="26.453125" style="4" bestFit="1" customWidth="1"/>
    <col min="11" max="11" width="27.81640625" style="4" bestFit="1" customWidth="1"/>
    <col min="12" max="12" width="23.54296875" style="4" bestFit="1" customWidth="1"/>
    <col min="13" max="13" width="21.1796875" style="4" bestFit="1" customWidth="1"/>
    <col min="14" max="14" width="28.453125" style="4" bestFit="1" customWidth="1"/>
    <col min="15" max="15" width="12.81640625" style="4" customWidth="1"/>
    <col min="16" max="16" width="20.81640625" style="47" customWidth="1"/>
    <col min="17" max="17" width="15.1796875" style="47" customWidth="1"/>
    <col min="18" max="18" width="26" style="47" bestFit="1" customWidth="1"/>
    <col min="19" max="16384" width="8.81640625" style="47"/>
  </cols>
  <sheetData>
    <row r="1" spans="1:21" ht="60" customHeight="1" x14ac:dyDescent="0.35">
      <c r="A1" s="24" t="s">
        <v>456</v>
      </c>
      <c r="C1" s="4" t="s">
        <v>607</v>
      </c>
      <c r="D1" s="4" t="s">
        <v>80</v>
      </c>
      <c r="G1" s="44" t="s">
        <v>37</v>
      </c>
      <c r="P1" s="45" t="s">
        <v>38</v>
      </c>
      <c r="Q1" s="46" t="s">
        <v>39</v>
      </c>
      <c r="R1" s="77" t="s">
        <v>608</v>
      </c>
    </row>
    <row r="2" spans="1:21" x14ac:dyDescent="0.35">
      <c r="A2" s="48" t="s">
        <v>40</v>
      </c>
      <c r="B2" s="48" t="s">
        <v>41</v>
      </c>
      <c r="C2" s="48" t="s">
        <v>42</v>
      </c>
      <c r="D2" s="48" t="s">
        <v>43</v>
      </c>
      <c r="E2" s="48" t="s">
        <v>44</v>
      </c>
      <c r="F2" s="48" t="s">
        <v>45</v>
      </c>
      <c r="G2" s="48" t="s">
        <v>46</v>
      </c>
      <c r="H2" s="48" t="s">
        <v>47</v>
      </c>
      <c r="I2" s="48" t="s">
        <v>48</v>
      </c>
      <c r="J2" s="48" t="s">
        <v>49</v>
      </c>
      <c r="K2" s="48" t="s">
        <v>50</v>
      </c>
      <c r="L2" s="48" t="s">
        <v>51</v>
      </c>
      <c r="M2" s="48" t="s">
        <v>70</v>
      </c>
      <c r="N2" s="48" t="s">
        <v>53</v>
      </c>
      <c r="O2" s="48" t="s">
        <v>54</v>
      </c>
      <c r="P2" s="49" t="s">
        <v>55</v>
      </c>
    </row>
    <row r="3" spans="1:21" s="89" customFormat="1" x14ac:dyDescent="0.35">
      <c r="A3" s="43" t="s">
        <v>526</v>
      </c>
      <c r="B3" s="105" t="s">
        <v>254</v>
      </c>
      <c r="C3" s="58" t="s">
        <v>74</v>
      </c>
      <c r="D3" s="43">
        <v>33</v>
      </c>
      <c r="E3" s="43" t="s">
        <v>85</v>
      </c>
      <c r="F3" s="43" t="s">
        <v>76</v>
      </c>
      <c r="G3" s="43">
        <v>2</v>
      </c>
      <c r="H3" s="43" t="s">
        <v>609</v>
      </c>
      <c r="I3" s="43" t="s">
        <v>545</v>
      </c>
      <c r="J3" s="43" t="s">
        <v>610</v>
      </c>
      <c r="K3" s="43" t="s">
        <v>611</v>
      </c>
      <c r="L3" s="43"/>
      <c r="M3" s="43"/>
      <c r="N3" s="43"/>
      <c r="O3" s="43"/>
      <c r="P3" s="88" t="b">
        <v>0</v>
      </c>
      <c r="R3" s="89" t="s">
        <v>612</v>
      </c>
      <c r="U3" s="90" t="s">
        <v>613</v>
      </c>
    </row>
    <row r="4" spans="1:21" s="89" customFormat="1" x14ac:dyDescent="0.35">
      <c r="A4" s="43" t="s">
        <v>526</v>
      </c>
      <c r="B4" s="105" t="s">
        <v>254</v>
      </c>
      <c r="C4" s="58" t="s">
        <v>79</v>
      </c>
      <c r="D4" s="43">
        <v>32</v>
      </c>
      <c r="E4" s="43" t="s">
        <v>85</v>
      </c>
      <c r="F4" s="43" t="s">
        <v>110</v>
      </c>
      <c r="G4" s="43">
        <v>2</v>
      </c>
      <c r="H4" s="43" t="s">
        <v>609</v>
      </c>
      <c r="I4" s="43" t="s">
        <v>545</v>
      </c>
      <c r="J4" s="43" t="s">
        <v>610</v>
      </c>
      <c r="K4" s="43" t="s">
        <v>611</v>
      </c>
      <c r="L4" s="43"/>
      <c r="M4" s="43"/>
      <c r="N4" s="43"/>
      <c r="O4" s="43"/>
      <c r="P4" s="88" t="b">
        <v>0</v>
      </c>
      <c r="R4" s="89" t="s">
        <v>612</v>
      </c>
    </row>
    <row r="5" spans="1:21" s="89" customFormat="1" x14ac:dyDescent="0.35">
      <c r="A5" s="43" t="s">
        <v>526</v>
      </c>
      <c r="B5" s="105" t="s">
        <v>254</v>
      </c>
      <c r="C5" s="58" t="s">
        <v>81</v>
      </c>
      <c r="D5" s="43">
        <v>33</v>
      </c>
      <c r="E5" s="43" t="s">
        <v>75</v>
      </c>
      <c r="F5" s="43" t="s">
        <v>86</v>
      </c>
      <c r="G5" s="43">
        <v>2</v>
      </c>
      <c r="H5" s="43" t="s">
        <v>609</v>
      </c>
      <c r="I5" s="43" t="s">
        <v>545</v>
      </c>
      <c r="J5" s="43" t="s">
        <v>610</v>
      </c>
      <c r="K5" s="43" t="s">
        <v>611</v>
      </c>
      <c r="L5" s="43"/>
      <c r="M5" s="43"/>
      <c r="N5" s="43"/>
      <c r="O5" s="43"/>
      <c r="P5" s="88" t="b">
        <v>0</v>
      </c>
      <c r="R5" s="89" t="s">
        <v>612</v>
      </c>
    </row>
    <row r="6" spans="1:21" s="89" customFormat="1" x14ac:dyDescent="0.35">
      <c r="A6" s="43" t="s">
        <v>526</v>
      </c>
      <c r="B6" s="105" t="s">
        <v>254</v>
      </c>
      <c r="C6" s="58" t="s">
        <v>94</v>
      </c>
      <c r="D6" s="43">
        <v>32</v>
      </c>
      <c r="E6" s="43" t="s">
        <v>75</v>
      </c>
      <c r="F6" s="43" t="s">
        <v>92</v>
      </c>
      <c r="G6" s="43">
        <v>2</v>
      </c>
      <c r="H6" s="43" t="s">
        <v>609</v>
      </c>
      <c r="I6" s="43" t="s">
        <v>545</v>
      </c>
      <c r="J6" s="43" t="s">
        <v>610</v>
      </c>
      <c r="K6" s="43" t="s">
        <v>611</v>
      </c>
      <c r="L6" s="43"/>
      <c r="M6" s="43"/>
      <c r="N6" s="43"/>
      <c r="O6" s="43"/>
      <c r="P6" s="88" t="b">
        <v>0</v>
      </c>
      <c r="R6" s="89" t="s">
        <v>612</v>
      </c>
    </row>
    <row r="7" spans="1:21" s="89" customFormat="1" x14ac:dyDescent="0.35">
      <c r="A7" s="43" t="s">
        <v>526</v>
      </c>
      <c r="B7" s="105" t="s">
        <v>254</v>
      </c>
      <c r="C7" s="58" t="s">
        <v>614</v>
      </c>
      <c r="D7" s="43" t="s">
        <v>510</v>
      </c>
      <c r="E7" s="43" t="s">
        <v>75</v>
      </c>
      <c r="F7" s="43" t="s">
        <v>86</v>
      </c>
      <c r="G7" s="43">
        <v>3</v>
      </c>
      <c r="H7" s="43">
        <v>12</v>
      </c>
      <c r="I7" s="43" t="s">
        <v>615</v>
      </c>
      <c r="J7" s="43" t="s">
        <v>610</v>
      </c>
      <c r="K7" s="43"/>
      <c r="L7" s="43"/>
      <c r="M7" s="43"/>
      <c r="N7" s="43"/>
      <c r="O7" s="43"/>
      <c r="P7" s="88" t="b">
        <v>0</v>
      </c>
      <c r="R7" s="89" t="s">
        <v>612</v>
      </c>
    </row>
    <row r="8" spans="1:21" s="89" customFormat="1" x14ac:dyDescent="0.35">
      <c r="A8" s="43"/>
      <c r="B8" s="58"/>
      <c r="C8" s="58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88" t="b">
        <v>0</v>
      </c>
    </row>
    <row r="9" spans="1:21" s="89" customFormat="1" x14ac:dyDescent="0.35">
      <c r="A9" s="43" t="s">
        <v>526</v>
      </c>
      <c r="B9" s="105" t="s">
        <v>256</v>
      </c>
      <c r="C9" s="58" t="s">
        <v>74</v>
      </c>
      <c r="D9" s="43">
        <v>65</v>
      </c>
      <c r="E9" s="43"/>
      <c r="F9" s="23" t="s">
        <v>86</v>
      </c>
      <c r="G9" s="43">
        <v>2</v>
      </c>
      <c r="H9" s="43" t="s">
        <v>616</v>
      </c>
      <c r="I9" s="43" t="s">
        <v>617</v>
      </c>
      <c r="J9" s="43" t="s">
        <v>618</v>
      </c>
      <c r="K9" s="43"/>
      <c r="L9" s="43"/>
      <c r="M9" s="43"/>
      <c r="N9" s="43"/>
      <c r="O9" s="43"/>
      <c r="P9" s="88" t="b">
        <v>0</v>
      </c>
      <c r="R9" s="89" t="s">
        <v>612</v>
      </c>
    </row>
    <row r="10" spans="1:21" s="89" customFormat="1" x14ac:dyDescent="0.35">
      <c r="A10" s="43" t="s">
        <v>526</v>
      </c>
      <c r="B10" s="105" t="s">
        <v>256</v>
      </c>
      <c r="C10" s="58" t="s">
        <v>79</v>
      </c>
      <c r="D10" s="43">
        <v>65</v>
      </c>
      <c r="E10" s="43"/>
      <c r="F10" s="23" t="s">
        <v>92</v>
      </c>
      <c r="G10" s="43">
        <v>2</v>
      </c>
      <c r="H10" s="43" t="s">
        <v>616</v>
      </c>
      <c r="I10" s="43" t="s">
        <v>617</v>
      </c>
      <c r="J10" s="43" t="s">
        <v>618</v>
      </c>
      <c r="K10" s="43"/>
      <c r="L10" s="43"/>
      <c r="M10" s="43"/>
      <c r="N10" s="43"/>
      <c r="O10" s="43"/>
      <c r="P10" s="88" t="b">
        <v>0</v>
      </c>
      <c r="R10" s="89" t="s">
        <v>612</v>
      </c>
    </row>
    <row r="11" spans="1:21" s="89" customFormat="1" x14ac:dyDescent="0.35">
      <c r="A11" s="43"/>
      <c r="B11" s="58"/>
      <c r="C11" s="58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88" t="b">
        <v>0</v>
      </c>
    </row>
    <row r="12" spans="1:21" s="61" customFormat="1" x14ac:dyDescent="0.35">
      <c r="A12" s="52" t="s">
        <v>533</v>
      </c>
      <c r="B12" s="104" t="s">
        <v>262</v>
      </c>
      <c r="C12" s="52" t="s">
        <v>74</v>
      </c>
      <c r="D12" s="52">
        <v>22</v>
      </c>
      <c r="E12" s="52" t="s">
        <v>75</v>
      </c>
      <c r="F12" s="52" t="s">
        <v>86</v>
      </c>
      <c r="G12" s="52">
        <v>1.5</v>
      </c>
      <c r="H12" s="52">
        <v>5</v>
      </c>
      <c r="I12" s="52" t="s">
        <v>603</v>
      </c>
      <c r="J12" s="52" t="s">
        <v>619</v>
      </c>
      <c r="K12" s="52"/>
      <c r="L12" s="52"/>
      <c r="M12" s="52"/>
      <c r="N12" s="52"/>
      <c r="O12" s="52"/>
      <c r="P12" s="60" t="b">
        <v>0</v>
      </c>
      <c r="R12" s="61" t="s">
        <v>620</v>
      </c>
    </row>
    <row r="13" spans="1:21" s="61" customFormat="1" x14ac:dyDescent="0.35">
      <c r="A13" s="52" t="s">
        <v>533</v>
      </c>
      <c r="B13" s="104" t="s">
        <v>262</v>
      </c>
      <c r="C13" s="52" t="s">
        <v>79</v>
      </c>
      <c r="D13" s="52">
        <v>22</v>
      </c>
      <c r="E13" s="52" t="s">
        <v>75</v>
      </c>
      <c r="F13" s="52" t="s">
        <v>621</v>
      </c>
      <c r="G13" s="52">
        <v>1.5</v>
      </c>
      <c r="H13" s="52">
        <v>5</v>
      </c>
      <c r="I13" s="52" t="s">
        <v>603</v>
      </c>
      <c r="J13" s="52" t="s">
        <v>619</v>
      </c>
      <c r="K13" s="52"/>
      <c r="L13" s="52"/>
      <c r="M13" s="52"/>
      <c r="N13" s="52"/>
      <c r="O13" s="52"/>
      <c r="P13" s="60" t="b">
        <v>0</v>
      </c>
      <c r="R13" s="61" t="s">
        <v>620</v>
      </c>
    </row>
    <row r="14" spans="1:21" s="61" customFormat="1" x14ac:dyDescent="0.35">
      <c r="A14" s="52" t="s">
        <v>533</v>
      </c>
      <c r="B14" s="104" t="s">
        <v>262</v>
      </c>
      <c r="C14" s="52" t="s">
        <v>81</v>
      </c>
      <c r="D14" s="52">
        <v>23</v>
      </c>
      <c r="E14" s="52" t="s">
        <v>75</v>
      </c>
      <c r="F14" s="52" t="s">
        <v>98</v>
      </c>
      <c r="G14" s="52">
        <v>1.5</v>
      </c>
      <c r="H14" s="52">
        <v>5</v>
      </c>
      <c r="I14" s="52" t="s">
        <v>603</v>
      </c>
      <c r="J14" s="52" t="s">
        <v>619</v>
      </c>
      <c r="K14" s="52"/>
      <c r="L14" s="52"/>
      <c r="M14" s="52"/>
      <c r="N14" s="52"/>
      <c r="O14" s="52"/>
      <c r="P14" s="60" t="b">
        <v>0</v>
      </c>
      <c r="R14" s="61" t="s">
        <v>620</v>
      </c>
    </row>
    <row r="15" spans="1:21" s="61" customFormat="1" x14ac:dyDescent="0.35">
      <c r="A15" s="52" t="s">
        <v>533</v>
      </c>
      <c r="B15" s="104" t="s">
        <v>262</v>
      </c>
      <c r="C15" s="52" t="s">
        <v>94</v>
      </c>
      <c r="D15" s="52">
        <v>23</v>
      </c>
      <c r="E15" s="52" t="s">
        <v>75</v>
      </c>
      <c r="F15" s="52" t="s">
        <v>104</v>
      </c>
      <c r="G15" s="52">
        <v>1.5</v>
      </c>
      <c r="H15" s="52">
        <v>5</v>
      </c>
      <c r="I15" s="52" t="s">
        <v>603</v>
      </c>
      <c r="J15" s="52" t="s">
        <v>619</v>
      </c>
      <c r="K15" s="52"/>
      <c r="L15" s="52"/>
      <c r="M15" s="52"/>
      <c r="N15" s="52"/>
      <c r="O15" s="52"/>
      <c r="P15" s="60" t="b">
        <v>0</v>
      </c>
      <c r="R15" s="61" t="s">
        <v>620</v>
      </c>
    </row>
    <row r="16" spans="1:21" s="61" customFormat="1" x14ac:dyDescent="0.35">
      <c r="A16" s="52" t="s">
        <v>533</v>
      </c>
      <c r="B16" s="104" t="s">
        <v>262</v>
      </c>
      <c r="C16" s="52" t="s">
        <v>97</v>
      </c>
      <c r="D16" s="52">
        <v>23</v>
      </c>
      <c r="E16" s="52" t="s">
        <v>82</v>
      </c>
      <c r="F16" s="52" t="s">
        <v>86</v>
      </c>
      <c r="G16" s="52">
        <v>1.5</v>
      </c>
      <c r="H16" s="52">
        <v>5</v>
      </c>
      <c r="I16" s="52" t="s">
        <v>603</v>
      </c>
      <c r="J16" s="52" t="s">
        <v>619</v>
      </c>
      <c r="K16" s="52"/>
      <c r="L16" s="52"/>
      <c r="M16" s="52"/>
      <c r="N16" s="52"/>
      <c r="O16" s="52"/>
      <c r="P16" s="60" t="b">
        <v>0</v>
      </c>
      <c r="R16" s="61" t="s">
        <v>620</v>
      </c>
    </row>
    <row r="17" spans="1:18" s="61" customFormat="1" x14ac:dyDescent="0.35">
      <c r="A17" s="52" t="s">
        <v>533</v>
      </c>
      <c r="B17" s="104" t="s">
        <v>262</v>
      </c>
      <c r="C17" s="52" t="s">
        <v>100</v>
      </c>
      <c r="D17" s="52">
        <v>23</v>
      </c>
      <c r="E17" s="52" t="s">
        <v>82</v>
      </c>
      <c r="F17" s="52" t="s">
        <v>621</v>
      </c>
      <c r="G17" s="52">
        <v>1.5</v>
      </c>
      <c r="H17" s="52">
        <v>5</v>
      </c>
      <c r="I17" s="52" t="s">
        <v>603</v>
      </c>
      <c r="J17" s="52" t="s">
        <v>619</v>
      </c>
      <c r="K17" s="52"/>
      <c r="L17" s="52"/>
      <c r="M17" s="52"/>
      <c r="N17" s="52"/>
      <c r="O17" s="52"/>
      <c r="P17" s="60" t="b">
        <v>0</v>
      </c>
      <c r="R17" s="61" t="s">
        <v>620</v>
      </c>
    </row>
    <row r="18" spans="1:18" s="61" customFormat="1" x14ac:dyDescent="0.35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60" t="b">
        <v>0</v>
      </c>
    </row>
    <row r="19" spans="1:18" s="61" customFormat="1" x14ac:dyDescent="0.35">
      <c r="A19" s="52" t="s">
        <v>533</v>
      </c>
      <c r="B19" s="104" t="s">
        <v>261</v>
      </c>
      <c r="C19" s="52" t="s">
        <v>74</v>
      </c>
      <c r="D19" s="52">
        <v>22</v>
      </c>
      <c r="E19" s="52" t="s">
        <v>75</v>
      </c>
      <c r="F19" s="52" t="s">
        <v>86</v>
      </c>
      <c r="G19" s="52">
        <v>3</v>
      </c>
      <c r="H19" s="52">
        <v>10</v>
      </c>
      <c r="I19" s="52" t="s">
        <v>475</v>
      </c>
      <c r="J19" s="52" t="s">
        <v>622</v>
      </c>
      <c r="K19" s="52" t="s">
        <v>477</v>
      </c>
      <c r="L19" s="52" t="s">
        <v>623</v>
      </c>
      <c r="M19" s="52"/>
      <c r="N19" s="52"/>
      <c r="O19" s="52"/>
      <c r="P19" s="60" t="b">
        <v>0</v>
      </c>
      <c r="R19" s="61" t="s">
        <v>620</v>
      </c>
    </row>
    <row r="20" spans="1:18" s="61" customFormat="1" x14ac:dyDescent="0.35">
      <c r="A20" s="52" t="s">
        <v>533</v>
      </c>
      <c r="B20" s="104" t="s">
        <v>261</v>
      </c>
      <c r="C20" s="52" t="s">
        <v>79</v>
      </c>
      <c r="D20" s="52">
        <v>22</v>
      </c>
      <c r="E20" s="52" t="s">
        <v>75</v>
      </c>
      <c r="F20" s="52" t="s">
        <v>98</v>
      </c>
      <c r="G20" s="52">
        <v>3</v>
      </c>
      <c r="H20" s="52">
        <v>10</v>
      </c>
      <c r="I20" s="52" t="s">
        <v>475</v>
      </c>
      <c r="J20" s="52" t="s">
        <v>622</v>
      </c>
      <c r="K20" s="52" t="s">
        <v>477</v>
      </c>
      <c r="L20" s="52" t="s">
        <v>623</v>
      </c>
      <c r="M20" s="52"/>
      <c r="N20" s="52"/>
      <c r="O20" s="52"/>
      <c r="P20" s="60" t="b">
        <v>0</v>
      </c>
      <c r="R20" s="61" t="s">
        <v>620</v>
      </c>
    </row>
    <row r="21" spans="1:18" s="61" customFormat="1" x14ac:dyDescent="0.35">
      <c r="A21" s="52" t="s">
        <v>533</v>
      </c>
      <c r="B21" s="104" t="s">
        <v>261</v>
      </c>
      <c r="C21" s="52" t="s">
        <v>81</v>
      </c>
      <c r="D21" s="52">
        <v>23</v>
      </c>
      <c r="E21" s="52" t="s">
        <v>82</v>
      </c>
      <c r="F21" s="52" t="s">
        <v>86</v>
      </c>
      <c r="G21" s="52">
        <v>3</v>
      </c>
      <c r="H21" s="52">
        <v>10</v>
      </c>
      <c r="I21" s="52" t="s">
        <v>475</v>
      </c>
      <c r="J21" s="52" t="s">
        <v>622</v>
      </c>
      <c r="K21" s="52" t="s">
        <v>477</v>
      </c>
      <c r="L21" s="52" t="s">
        <v>623</v>
      </c>
      <c r="M21" s="52"/>
      <c r="N21" s="52"/>
      <c r="O21" s="52"/>
      <c r="P21" s="60" t="b">
        <v>0</v>
      </c>
      <c r="R21" s="61" t="s">
        <v>620</v>
      </c>
    </row>
    <row r="22" spans="1:18" s="61" customFormat="1" x14ac:dyDescent="0.35">
      <c r="A22" s="91" t="s">
        <v>533</v>
      </c>
      <c r="B22" s="110" t="s">
        <v>261</v>
      </c>
      <c r="C22" s="91" t="s">
        <v>94</v>
      </c>
      <c r="D22" s="91">
        <v>23</v>
      </c>
      <c r="E22" s="52" t="s">
        <v>75</v>
      </c>
      <c r="F22" s="52" t="s">
        <v>86</v>
      </c>
      <c r="G22" s="91">
        <v>3</v>
      </c>
      <c r="H22" s="91">
        <v>11</v>
      </c>
      <c r="I22" s="91" t="s">
        <v>475</v>
      </c>
      <c r="J22" s="52" t="s">
        <v>622</v>
      </c>
      <c r="K22" s="52" t="s">
        <v>477</v>
      </c>
      <c r="L22" s="52" t="s">
        <v>623</v>
      </c>
      <c r="M22" s="52"/>
      <c r="N22" s="52"/>
      <c r="O22" s="52"/>
      <c r="P22" s="60" t="b">
        <v>0</v>
      </c>
      <c r="R22" s="61" t="s">
        <v>620</v>
      </c>
    </row>
    <row r="23" spans="1:18" s="61" customFormat="1" x14ac:dyDescent="0.35">
      <c r="A23" s="52" t="s">
        <v>533</v>
      </c>
      <c r="B23" s="104" t="s">
        <v>261</v>
      </c>
      <c r="C23" s="52" t="s">
        <v>97</v>
      </c>
      <c r="D23" s="52">
        <v>23</v>
      </c>
      <c r="E23" s="52" t="s">
        <v>75</v>
      </c>
      <c r="F23" s="52" t="s">
        <v>98</v>
      </c>
      <c r="G23" s="52">
        <v>3</v>
      </c>
      <c r="H23" s="52">
        <v>11</v>
      </c>
      <c r="I23" s="52" t="s">
        <v>475</v>
      </c>
      <c r="J23" s="87" t="s">
        <v>622</v>
      </c>
      <c r="K23" s="52" t="s">
        <v>477</v>
      </c>
      <c r="L23" s="52" t="s">
        <v>623</v>
      </c>
      <c r="M23" s="52"/>
      <c r="N23" s="52"/>
      <c r="O23" s="52"/>
      <c r="P23" s="60" t="b">
        <v>0</v>
      </c>
      <c r="R23" s="61" t="s">
        <v>620</v>
      </c>
    </row>
    <row r="24" spans="1:18" s="61" customFormat="1" x14ac:dyDescent="0.35">
      <c r="A24" s="52" t="s">
        <v>533</v>
      </c>
      <c r="B24" s="104" t="s">
        <v>261</v>
      </c>
      <c r="C24" s="52" t="s">
        <v>100</v>
      </c>
      <c r="D24" s="52">
        <v>23</v>
      </c>
      <c r="E24" s="52" t="s">
        <v>82</v>
      </c>
      <c r="F24" s="52" t="s">
        <v>86</v>
      </c>
      <c r="G24" s="52">
        <v>3</v>
      </c>
      <c r="H24" s="52">
        <v>11</v>
      </c>
      <c r="I24" s="52" t="s">
        <v>475</v>
      </c>
      <c r="J24" s="87" t="s">
        <v>622</v>
      </c>
      <c r="K24" s="52" t="s">
        <v>477</v>
      </c>
      <c r="L24" s="52" t="s">
        <v>623</v>
      </c>
      <c r="M24" s="52"/>
      <c r="N24" s="52"/>
      <c r="O24" s="52"/>
      <c r="P24" s="60" t="b">
        <v>0</v>
      </c>
      <c r="R24" s="61" t="s">
        <v>620</v>
      </c>
    </row>
    <row r="25" spans="1:18" s="61" customFormat="1" x14ac:dyDescent="0.35">
      <c r="A25" s="52"/>
      <c r="B25" s="52"/>
      <c r="C25" s="52"/>
      <c r="D25" s="52"/>
      <c r="E25" s="52"/>
      <c r="F25" s="52"/>
      <c r="G25" s="52"/>
      <c r="H25" s="52"/>
      <c r="I25" s="52"/>
      <c r="J25" s="87"/>
      <c r="K25" s="52"/>
      <c r="L25" s="52"/>
      <c r="M25" s="52"/>
      <c r="N25" s="52"/>
      <c r="O25" s="52"/>
      <c r="P25" s="60" t="b">
        <v>0</v>
      </c>
    </row>
    <row r="26" spans="1:18" s="61" customFormat="1" x14ac:dyDescent="0.35">
      <c r="A26" s="52" t="s">
        <v>533</v>
      </c>
      <c r="B26" s="104" t="s">
        <v>341</v>
      </c>
      <c r="C26" s="52" t="s">
        <v>74</v>
      </c>
      <c r="D26" s="52">
        <f>24</f>
        <v>24</v>
      </c>
      <c r="E26" s="52" t="s">
        <v>75</v>
      </c>
      <c r="F26" s="52" t="s">
        <v>86</v>
      </c>
      <c r="G26" s="52">
        <v>2</v>
      </c>
      <c r="H26" s="52" t="s">
        <v>624</v>
      </c>
      <c r="I26" s="52" t="s">
        <v>625</v>
      </c>
      <c r="J26" s="52" t="s">
        <v>626</v>
      </c>
      <c r="K26" s="52" t="s">
        <v>599</v>
      </c>
      <c r="L26" s="52"/>
      <c r="M26" s="52"/>
      <c r="N26" s="52"/>
      <c r="O26" s="52"/>
      <c r="P26" s="60"/>
      <c r="R26" s="61" t="s">
        <v>620</v>
      </c>
    </row>
    <row r="27" spans="1:18" s="61" customFormat="1" x14ac:dyDescent="0.35">
      <c r="A27" s="52" t="s">
        <v>533</v>
      </c>
      <c r="B27" s="104" t="s">
        <v>341</v>
      </c>
      <c r="C27" s="52" t="s">
        <v>79</v>
      </c>
      <c r="D27" s="52">
        <v>24</v>
      </c>
      <c r="E27" s="52" t="s">
        <v>75</v>
      </c>
      <c r="F27" s="52" t="s">
        <v>86</v>
      </c>
      <c r="G27" s="52">
        <v>2</v>
      </c>
      <c r="H27" s="52" t="s">
        <v>624</v>
      </c>
      <c r="I27" s="52" t="s">
        <v>625</v>
      </c>
      <c r="J27" s="52" t="s">
        <v>626</v>
      </c>
      <c r="K27" s="52" t="s">
        <v>599</v>
      </c>
      <c r="L27" s="52"/>
      <c r="M27" s="52"/>
      <c r="N27" s="52"/>
      <c r="O27" s="52"/>
      <c r="P27" s="60" t="b">
        <v>0</v>
      </c>
      <c r="R27" s="61" t="s">
        <v>620</v>
      </c>
    </row>
    <row r="28" spans="1:18" s="61" customFormat="1" x14ac:dyDescent="0.35">
      <c r="A28" s="52" t="s">
        <v>533</v>
      </c>
      <c r="B28" s="104" t="s">
        <v>341</v>
      </c>
      <c r="C28" s="52" t="s">
        <v>81</v>
      </c>
      <c r="D28" s="52">
        <v>24</v>
      </c>
      <c r="E28" s="52" t="s">
        <v>75</v>
      </c>
      <c r="F28" s="52" t="s">
        <v>86</v>
      </c>
      <c r="G28" s="52">
        <v>2</v>
      </c>
      <c r="H28" s="52" t="s">
        <v>624</v>
      </c>
      <c r="I28" s="52" t="s">
        <v>625</v>
      </c>
      <c r="J28" s="52" t="s">
        <v>626</v>
      </c>
      <c r="K28" s="52" t="s">
        <v>599</v>
      </c>
      <c r="R28" s="61" t="s">
        <v>620</v>
      </c>
    </row>
    <row r="29" spans="1:18" s="61" customFormat="1" x14ac:dyDescent="0.35">
      <c r="A29" s="52" t="s">
        <v>533</v>
      </c>
      <c r="B29" s="104" t="s">
        <v>341</v>
      </c>
      <c r="C29" s="52" t="s">
        <v>94</v>
      </c>
      <c r="D29" s="52">
        <v>24</v>
      </c>
      <c r="E29" s="52" t="s">
        <v>75</v>
      </c>
      <c r="F29" s="52" t="s">
        <v>92</v>
      </c>
      <c r="G29" s="52">
        <v>2</v>
      </c>
      <c r="H29" s="52" t="s">
        <v>624</v>
      </c>
      <c r="I29" s="52" t="s">
        <v>625</v>
      </c>
      <c r="J29" s="52" t="s">
        <v>626</v>
      </c>
      <c r="K29" s="52" t="s">
        <v>599</v>
      </c>
      <c r="L29" s="52"/>
      <c r="M29" s="52"/>
      <c r="N29" s="52"/>
      <c r="O29" s="52"/>
      <c r="P29" s="60" t="b">
        <v>0</v>
      </c>
      <c r="R29" s="61" t="s">
        <v>620</v>
      </c>
    </row>
    <row r="30" spans="1:18" s="61" customFormat="1" x14ac:dyDescent="0.35">
      <c r="A30" s="52" t="s">
        <v>533</v>
      </c>
      <c r="B30" s="104" t="s">
        <v>341</v>
      </c>
      <c r="C30" s="52" t="s">
        <v>97</v>
      </c>
      <c r="D30" s="52">
        <v>24</v>
      </c>
      <c r="E30" s="52" t="s">
        <v>75</v>
      </c>
      <c r="F30" s="52" t="s">
        <v>92</v>
      </c>
      <c r="G30" s="52">
        <v>2</v>
      </c>
      <c r="H30" s="52" t="s">
        <v>624</v>
      </c>
      <c r="I30" s="52" t="s">
        <v>625</v>
      </c>
      <c r="J30" s="52" t="s">
        <v>626</v>
      </c>
      <c r="K30" s="52" t="s">
        <v>599</v>
      </c>
      <c r="L30" s="52"/>
      <c r="M30" s="52"/>
      <c r="N30" s="52"/>
      <c r="O30" s="52"/>
      <c r="P30" s="60" t="b">
        <v>0</v>
      </c>
      <c r="R30" s="61" t="s">
        <v>620</v>
      </c>
    </row>
    <row r="31" spans="1:18" s="61" customFormat="1" x14ac:dyDescent="0.35">
      <c r="A31" s="52" t="s">
        <v>533</v>
      </c>
      <c r="B31" s="104" t="s">
        <v>341</v>
      </c>
      <c r="C31" s="52" t="s">
        <v>100</v>
      </c>
      <c r="D31" s="52">
        <v>24</v>
      </c>
      <c r="E31" s="52" t="s">
        <v>75</v>
      </c>
      <c r="F31" s="52" t="s">
        <v>92</v>
      </c>
      <c r="G31" s="52">
        <v>2</v>
      </c>
      <c r="H31" s="52" t="s">
        <v>624</v>
      </c>
      <c r="I31" s="52" t="s">
        <v>625</v>
      </c>
      <c r="J31" s="52" t="s">
        <v>626</v>
      </c>
      <c r="K31" s="52" t="s">
        <v>599</v>
      </c>
      <c r="L31" s="52"/>
      <c r="M31" s="52"/>
      <c r="N31" s="52"/>
      <c r="O31" s="52"/>
      <c r="P31" s="60" t="b">
        <v>0</v>
      </c>
      <c r="R31" s="61" t="s">
        <v>620</v>
      </c>
    </row>
    <row r="32" spans="1:18" s="61" customFormat="1" x14ac:dyDescent="0.3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60" t="b">
        <v>0</v>
      </c>
    </row>
    <row r="33" spans="1:18" s="61" customFormat="1" x14ac:dyDescent="0.35">
      <c r="A33" s="52" t="s">
        <v>533</v>
      </c>
      <c r="B33" s="104" t="s">
        <v>698</v>
      </c>
      <c r="C33" s="92" t="s">
        <v>627</v>
      </c>
      <c r="D33" s="52">
        <v>64</v>
      </c>
      <c r="E33" s="4" t="s">
        <v>88</v>
      </c>
      <c r="F33" s="4" t="s">
        <v>86</v>
      </c>
      <c r="G33" s="4">
        <v>3</v>
      </c>
      <c r="H33" s="52" t="s">
        <v>64</v>
      </c>
      <c r="I33" s="52" t="s">
        <v>527</v>
      </c>
      <c r="J33" s="85" t="s">
        <v>542</v>
      </c>
      <c r="K33" s="52" t="s">
        <v>628</v>
      </c>
      <c r="L33" s="52"/>
      <c r="M33" s="52"/>
      <c r="N33" s="52"/>
      <c r="O33" s="52"/>
      <c r="P33" s="60" t="b">
        <v>0</v>
      </c>
      <c r="R33" s="61" t="s">
        <v>629</v>
      </c>
    </row>
    <row r="34" spans="1:18" s="61" customFormat="1" x14ac:dyDescent="0.35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60" t="b">
        <v>0</v>
      </c>
    </row>
    <row r="35" spans="1:18" s="61" customFormat="1" x14ac:dyDescent="0.35">
      <c r="A35" s="52" t="s">
        <v>533</v>
      </c>
      <c r="B35" s="104" t="s">
        <v>268</v>
      </c>
      <c r="C35" s="92" t="s">
        <v>627</v>
      </c>
      <c r="D35" s="52">
        <v>64</v>
      </c>
      <c r="E35" s="52" t="s">
        <v>88</v>
      </c>
      <c r="F35" s="52" t="s">
        <v>98</v>
      </c>
      <c r="G35" s="52">
        <v>2</v>
      </c>
      <c r="H35" s="52" t="s">
        <v>630</v>
      </c>
      <c r="I35" s="52" t="s">
        <v>625</v>
      </c>
      <c r="J35" s="52" t="s">
        <v>631</v>
      </c>
      <c r="K35" s="52"/>
      <c r="L35" s="52"/>
      <c r="M35" s="52"/>
      <c r="N35" s="52"/>
      <c r="O35" s="52"/>
      <c r="P35" s="60" t="b">
        <v>0</v>
      </c>
      <c r="R35" s="61" t="s">
        <v>629</v>
      </c>
    </row>
    <row r="36" spans="1:18" s="61" customFormat="1" x14ac:dyDescent="0.35">
      <c r="A36" s="52" t="s">
        <v>533</v>
      </c>
      <c r="B36" s="104" t="s">
        <v>268</v>
      </c>
      <c r="C36" s="92" t="s">
        <v>627</v>
      </c>
      <c r="D36" s="52">
        <v>64</v>
      </c>
      <c r="E36" s="52" t="s">
        <v>88</v>
      </c>
      <c r="F36" s="52" t="s">
        <v>98</v>
      </c>
      <c r="G36" s="52">
        <v>4</v>
      </c>
      <c r="H36" s="52" t="s">
        <v>632</v>
      </c>
      <c r="I36" s="52" t="s">
        <v>625</v>
      </c>
      <c r="J36" s="52" t="s">
        <v>631</v>
      </c>
      <c r="K36" s="52"/>
      <c r="L36" s="52"/>
      <c r="M36" s="52"/>
      <c r="N36" s="52"/>
      <c r="O36" s="52"/>
      <c r="P36" s="60" t="b">
        <v>0</v>
      </c>
      <c r="R36" s="61" t="s">
        <v>629</v>
      </c>
    </row>
    <row r="37" spans="1:18" s="61" customFormat="1" x14ac:dyDescent="0.35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60" t="b">
        <v>0</v>
      </c>
    </row>
    <row r="38" spans="1:18" s="61" customFormat="1" x14ac:dyDescent="0.35">
      <c r="A38" s="52" t="s">
        <v>533</v>
      </c>
      <c r="B38" s="104" t="s">
        <v>265</v>
      </c>
      <c r="C38" s="93" t="s">
        <v>633</v>
      </c>
      <c r="D38" s="52">
        <v>29</v>
      </c>
      <c r="E38" s="52" t="s">
        <v>82</v>
      </c>
      <c r="F38" s="85" t="s">
        <v>76</v>
      </c>
      <c r="G38" s="85">
        <v>2</v>
      </c>
      <c r="H38" s="85" t="s">
        <v>755</v>
      </c>
      <c r="I38" s="52" t="s">
        <v>634</v>
      </c>
      <c r="J38" s="52" t="s">
        <v>635</v>
      </c>
      <c r="K38" s="52"/>
      <c r="L38" s="52"/>
      <c r="M38" s="52"/>
      <c r="N38" s="52"/>
      <c r="O38" s="52"/>
      <c r="P38" s="60" t="b">
        <v>0</v>
      </c>
      <c r="R38" s="61" t="s">
        <v>636</v>
      </c>
    </row>
    <row r="39" spans="1:18" s="61" customFormat="1" x14ac:dyDescent="0.35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60" t="b">
        <v>0</v>
      </c>
    </row>
    <row r="40" spans="1:18" s="61" customFormat="1" x14ac:dyDescent="0.35">
      <c r="A40" s="52" t="s">
        <v>533</v>
      </c>
      <c r="B40" s="104" t="s">
        <v>269</v>
      </c>
      <c r="C40" s="93" t="s">
        <v>637</v>
      </c>
      <c r="D40" s="52">
        <v>15</v>
      </c>
      <c r="E40" s="52" t="s">
        <v>88</v>
      </c>
      <c r="F40" s="52" t="s">
        <v>86</v>
      </c>
      <c r="G40" s="85">
        <v>3</v>
      </c>
      <c r="H40" s="52" t="s">
        <v>707</v>
      </c>
      <c r="I40" s="52" t="s">
        <v>539</v>
      </c>
      <c r="J40" s="52" t="s">
        <v>540</v>
      </c>
      <c r="K40" s="52" t="s">
        <v>638</v>
      </c>
      <c r="L40" s="52"/>
      <c r="M40" s="52"/>
      <c r="N40" s="52"/>
      <c r="O40" s="52"/>
      <c r="P40" s="60" t="b">
        <v>0</v>
      </c>
      <c r="R40" s="61" t="s">
        <v>636</v>
      </c>
    </row>
    <row r="41" spans="1:18" s="61" customFormat="1" x14ac:dyDescent="0.35">
      <c r="A41" s="52" t="s">
        <v>533</v>
      </c>
      <c r="B41" s="104" t="s">
        <v>269</v>
      </c>
      <c r="C41" s="93" t="s">
        <v>639</v>
      </c>
      <c r="D41" s="52">
        <v>14</v>
      </c>
      <c r="E41" s="52" t="s">
        <v>88</v>
      </c>
      <c r="F41" s="52" t="s">
        <v>98</v>
      </c>
      <c r="G41" s="85">
        <v>3</v>
      </c>
      <c r="H41" s="52" t="s">
        <v>707</v>
      </c>
      <c r="I41" s="52" t="s">
        <v>539</v>
      </c>
      <c r="J41" s="52" t="s">
        <v>540</v>
      </c>
      <c r="K41" s="52" t="s">
        <v>638</v>
      </c>
      <c r="L41" s="52" t="s">
        <v>542</v>
      </c>
      <c r="M41" s="52"/>
      <c r="N41" s="52"/>
      <c r="O41" s="52"/>
      <c r="P41" s="60" t="b">
        <v>0</v>
      </c>
      <c r="R41" s="61" t="s">
        <v>636</v>
      </c>
    </row>
    <row r="42" spans="1:18" s="61" customFormat="1" x14ac:dyDescent="0.35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60" t="b">
        <v>0</v>
      </c>
    </row>
    <row r="43" spans="1:18" s="89" customFormat="1" x14ac:dyDescent="0.35">
      <c r="A43" s="52" t="s">
        <v>533</v>
      </c>
      <c r="B43" s="104" t="s">
        <v>336</v>
      </c>
      <c r="C43" s="52" t="s">
        <v>640</v>
      </c>
      <c r="D43" s="52">
        <v>20</v>
      </c>
      <c r="E43" s="52" t="s">
        <v>88</v>
      </c>
      <c r="F43" s="52" t="s">
        <v>86</v>
      </c>
      <c r="G43" s="52">
        <v>3</v>
      </c>
      <c r="H43" s="52" t="s">
        <v>83</v>
      </c>
      <c r="I43" s="52" t="s">
        <v>561</v>
      </c>
      <c r="J43" s="52" t="s">
        <v>641</v>
      </c>
      <c r="K43" s="52" t="s">
        <v>611</v>
      </c>
      <c r="L43" s="43"/>
      <c r="M43" s="43"/>
      <c r="N43" s="43"/>
      <c r="O43" s="43"/>
      <c r="P43" s="88" t="b">
        <v>0</v>
      </c>
      <c r="R43" s="89" t="s">
        <v>642</v>
      </c>
    </row>
    <row r="44" spans="1:18" s="89" customFormat="1" x14ac:dyDescent="0.35">
      <c r="A44" s="52" t="s">
        <v>533</v>
      </c>
      <c r="B44" s="104" t="s">
        <v>336</v>
      </c>
      <c r="C44" s="52" t="s">
        <v>643</v>
      </c>
      <c r="D44" s="52">
        <v>21</v>
      </c>
      <c r="E44" s="52" t="s">
        <v>88</v>
      </c>
      <c r="F44" s="52" t="s">
        <v>98</v>
      </c>
      <c r="G44" s="52">
        <v>3</v>
      </c>
      <c r="H44" s="52" t="s">
        <v>83</v>
      </c>
      <c r="I44" s="52" t="s">
        <v>561</v>
      </c>
      <c r="J44" s="52" t="s">
        <v>641</v>
      </c>
      <c r="K44" s="52" t="s">
        <v>611</v>
      </c>
      <c r="L44" s="43"/>
      <c r="M44" s="43"/>
      <c r="N44" s="43"/>
      <c r="O44" s="43"/>
      <c r="P44" s="88" t="b">
        <v>0</v>
      </c>
      <c r="R44" s="89" t="s">
        <v>642</v>
      </c>
    </row>
    <row r="45" spans="1:18" s="89" customFormat="1" x14ac:dyDescent="0.35">
      <c r="A45" s="52" t="s">
        <v>533</v>
      </c>
      <c r="B45" s="104" t="s">
        <v>336</v>
      </c>
      <c r="C45" s="52" t="s">
        <v>640</v>
      </c>
      <c r="D45" s="52">
        <v>20</v>
      </c>
      <c r="E45" s="52" t="s">
        <v>88</v>
      </c>
      <c r="F45" s="52" t="s">
        <v>86</v>
      </c>
      <c r="G45" s="52">
        <v>3</v>
      </c>
      <c r="H45" s="52" t="s">
        <v>644</v>
      </c>
      <c r="I45" s="52" t="s">
        <v>561</v>
      </c>
      <c r="J45" s="52" t="s">
        <v>641</v>
      </c>
      <c r="K45" s="52" t="s">
        <v>611</v>
      </c>
      <c r="L45" s="43"/>
      <c r="M45" s="43"/>
      <c r="N45" s="43"/>
      <c r="O45" s="43"/>
      <c r="P45" s="88" t="b">
        <v>0</v>
      </c>
      <c r="R45" s="89" t="s">
        <v>642</v>
      </c>
    </row>
    <row r="46" spans="1:18" s="89" customFormat="1" x14ac:dyDescent="0.35">
      <c r="A46" s="52" t="s">
        <v>533</v>
      </c>
      <c r="B46" s="104" t="s">
        <v>336</v>
      </c>
      <c r="C46" s="52" t="s">
        <v>643</v>
      </c>
      <c r="D46" s="52">
        <v>21</v>
      </c>
      <c r="E46" s="52" t="s">
        <v>88</v>
      </c>
      <c r="F46" s="52" t="s">
        <v>98</v>
      </c>
      <c r="G46" s="52">
        <v>3</v>
      </c>
      <c r="H46" s="52" t="s">
        <v>644</v>
      </c>
      <c r="I46" s="52" t="s">
        <v>561</v>
      </c>
      <c r="J46" s="52" t="s">
        <v>641</v>
      </c>
      <c r="K46" s="52" t="s">
        <v>611</v>
      </c>
      <c r="L46" s="43"/>
      <c r="M46" s="43"/>
      <c r="N46" s="43"/>
      <c r="O46" s="43"/>
      <c r="P46" s="88" t="b">
        <v>0</v>
      </c>
      <c r="R46" s="89" t="s">
        <v>642</v>
      </c>
    </row>
    <row r="47" spans="1:18" s="89" customFormat="1" x14ac:dyDescent="0.35">
      <c r="A47" s="52"/>
      <c r="B47" s="52"/>
      <c r="C47" s="52"/>
      <c r="D47" s="52"/>
      <c r="E47" s="52"/>
      <c r="F47" s="52"/>
      <c r="G47" s="52"/>
      <c r="H47" s="95"/>
      <c r="I47" s="52"/>
      <c r="J47" s="52"/>
      <c r="K47" s="52"/>
      <c r="L47" s="43"/>
      <c r="M47" s="43"/>
      <c r="N47" s="43"/>
      <c r="O47" s="43"/>
      <c r="P47" s="88" t="b">
        <v>0</v>
      </c>
    </row>
    <row r="48" spans="1:18" s="89" customFormat="1" x14ac:dyDescent="0.35">
      <c r="A48" s="52" t="s">
        <v>533</v>
      </c>
      <c r="B48" s="104" t="s">
        <v>334</v>
      </c>
      <c r="C48" s="94" t="s">
        <v>640</v>
      </c>
      <c r="D48" s="52">
        <v>14</v>
      </c>
      <c r="E48" s="52" t="s">
        <v>75</v>
      </c>
      <c r="F48" s="52" t="s">
        <v>86</v>
      </c>
      <c r="G48" s="52">
        <v>3</v>
      </c>
      <c r="H48" s="52">
        <v>4</v>
      </c>
      <c r="I48" s="52" t="s">
        <v>561</v>
      </c>
      <c r="J48" s="52" t="s">
        <v>645</v>
      </c>
      <c r="K48" s="52" t="s">
        <v>611</v>
      </c>
      <c r="L48" s="43"/>
      <c r="M48" s="43"/>
      <c r="N48" s="43"/>
      <c r="O48" s="43"/>
      <c r="P48" s="88" t="b">
        <v>0</v>
      </c>
      <c r="R48" s="89" t="s">
        <v>642</v>
      </c>
    </row>
    <row r="49" spans="1:18" s="89" customFormat="1" x14ac:dyDescent="0.35">
      <c r="A49" s="52" t="s">
        <v>533</v>
      </c>
      <c r="B49" s="104" t="s">
        <v>334</v>
      </c>
      <c r="C49" s="94" t="s">
        <v>643</v>
      </c>
      <c r="D49" s="52">
        <v>14</v>
      </c>
      <c r="E49" s="52" t="s">
        <v>75</v>
      </c>
      <c r="F49" s="52" t="s">
        <v>98</v>
      </c>
      <c r="G49" s="52">
        <v>3</v>
      </c>
      <c r="H49" s="52">
        <v>4</v>
      </c>
      <c r="I49" s="52" t="s">
        <v>561</v>
      </c>
      <c r="J49" s="52" t="s">
        <v>645</v>
      </c>
      <c r="K49" s="52" t="s">
        <v>611</v>
      </c>
      <c r="L49" s="43"/>
      <c r="M49" s="43"/>
      <c r="N49" s="43"/>
      <c r="O49" s="43"/>
      <c r="P49" s="88" t="b">
        <v>0</v>
      </c>
      <c r="R49" s="89" t="s">
        <v>642</v>
      </c>
    </row>
    <row r="50" spans="1:18" s="89" customFormat="1" x14ac:dyDescent="0.35">
      <c r="A50" s="52" t="s">
        <v>533</v>
      </c>
      <c r="B50" s="104" t="s">
        <v>334</v>
      </c>
      <c r="C50" s="94" t="s">
        <v>646</v>
      </c>
      <c r="D50" s="52">
        <v>13</v>
      </c>
      <c r="E50" s="52" t="s">
        <v>82</v>
      </c>
      <c r="F50" s="52" t="s">
        <v>76</v>
      </c>
      <c r="G50" s="52">
        <v>3</v>
      </c>
      <c r="H50" s="52">
        <v>4</v>
      </c>
      <c r="I50" s="52" t="s">
        <v>561</v>
      </c>
      <c r="J50" s="52" t="s">
        <v>645</v>
      </c>
      <c r="K50" s="52" t="s">
        <v>611</v>
      </c>
      <c r="L50" s="43"/>
      <c r="M50" s="43"/>
      <c r="N50" s="43"/>
      <c r="O50" s="43"/>
      <c r="P50" s="88" t="b">
        <v>0</v>
      </c>
      <c r="R50" s="89" t="s">
        <v>642</v>
      </c>
    </row>
    <row r="51" spans="1:18" s="89" customFormat="1" x14ac:dyDescent="0.35">
      <c r="A51" s="52" t="s">
        <v>533</v>
      </c>
      <c r="B51" s="104" t="s">
        <v>334</v>
      </c>
      <c r="C51" s="94" t="s">
        <v>640</v>
      </c>
      <c r="D51" s="52">
        <v>14</v>
      </c>
      <c r="E51" s="52" t="s">
        <v>75</v>
      </c>
      <c r="F51" s="52" t="s">
        <v>86</v>
      </c>
      <c r="G51" s="52">
        <v>3</v>
      </c>
      <c r="H51" s="52">
        <v>11</v>
      </c>
      <c r="I51" s="52" t="s">
        <v>647</v>
      </c>
      <c r="J51" s="52" t="s">
        <v>645</v>
      </c>
      <c r="K51" s="52" t="s">
        <v>648</v>
      </c>
      <c r="L51" s="43"/>
      <c r="M51" s="43"/>
      <c r="N51" s="43"/>
      <c r="O51" s="43"/>
      <c r="P51" s="88" t="b">
        <v>0</v>
      </c>
      <c r="R51" s="89" t="s">
        <v>642</v>
      </c>
    </row>
    <row r="52" spans="1:18" s="89" customFormat="1" x14ac:dyDescent="0.35">
      <c r="A52" s="52" t="s">
        <v>533</v>
      </c>
      <c r="B52" s="104" t="s">
        <v>334</v>
      </c>
      <c r="C52" s="94" t="s">
        <v>643</v>
      </c>
      <c r="D52" s="52">
        <v>14</v>
      </c>
      <c r="E52" s="52" t="s">
        <v>75</v>
      </c>
      <c r="F52" s="52" t="s">
        <v>98</v>
      </c>
      <c r="G52" s="52">
        <v>3</v>
      </c>
      <c r="H52" s="52">
        <v>11</v>
      </c>
      <c r="I52" s="52" t="s">
        <v>647</v>
      </c>
      <c r="J52" s="52" t="s">
        <v>645</v>
      </c>
      <c r="K52" s="52" t="s">
        <v>648</v>
      </c>
      <c r="L52" s="43"/>
      <c r="M52" s="43"/>
      <c r="N52" s="43"/>
      <c r="O52" s="43"/>
      <c r="P52" s="88" t="b">
        <v>0</v>
      </c>
      <c r="R52" s="89" t="s">
        <v>642</v>
      </c>
    </row>
    <row r="53" spans="1:18" s="89" customFormat="1" x14ac:dyDescent="0.35">
      <c r="A53" s="52" t="s">
        <v>533</v>
      </c>
      <c r="B53" s="104" t="s">
        <v>334</v>
      </c>
      <c r="C53" s="94" t="s">
        <v>646</v>
      </c>
      <c r="D53" s="52">
        <v>13</v>
      </c>
      <c r="E53" s="85" t="s">
        <v>91</v>
      </c>
      <c r="F53" s="85" t="s">
        <v>86</v>
      </c>
      <c r="G53" s="52">
        <v>3</v>
      </c>
      <c r="H53" s="52">
        <v>11</v>
      </c>
      <c r="I53" s="52" t="s">
        <v>647</v>
      </c>
      <c r="J53" s="52" t="s">
        <v>645</v>
      </c>
      <c r="K53" s="85" t="s">
        <v>648</v>
      </c>
      <c r="L53" s="43"/>
      <c r="M53" s="43"/>
      <c r="N53" s="43"/>
      <c r="O53" s="43"/>
      <c r="P53" s="88" t="b">
        <v>0</v>
      </c>
      <c r="R53" s="89" t="s">
        <v>642</v>
      </c>
    </row>
    <row r="54" spans="1:18" s="15" customFormat="1" x14ac:dyDescent="0.35">
      <c r="A54" s="1"/>
      <c r="B54" s="14"/>
      <c r="C54" s="1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4"/>
      <c r="P54" s="54" t="b">
        <v>0</v>
      </c>
    </row>
    <row r="55" spans="1:18" s="15" customFormat="1" x14ac:dyDescent="0.35">
      <c r="A55" s="1"/>
      <c r="B55" s="14"/>
      <c r="C55" s="1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4"/>
      <c r="P55" s="54" t="b">
        <v>0</v>
      </c>
    </row>
    <row r="56" spans="1:18" s="15" customFormat="1" x14ac:dyDescent="0.35">
      <c r="A56" s="1"/>
      <c r="B56" s="14"/>
      <c r="C56" s="1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4"/>
      <c r="P56" s="54" t="b">
        <v>0</v>
      </c>
    </row>
    <row r="57" spans="1:18" s="15" customFormat="1" x14ac:dyDescent="0.35">
      <c r="A57" s="1"/>
      <c r="B57" s="14"/>
      <c r="C57" s="1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4"/>
      <c r="P57" s="54" t="b">
        <v>0</v>
      </c>
    </row>
    <row r="58" spans="1:18" s="15" customFormat="1" x14ac:dyDescent="0.35">
      <c r="A58" s="1"/>
      <c r="B58" s="14"/>
      <c r="C58" s="1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4"/>
      <c r="P58" s="54" t="b">
        <v>0</v>
      </c>
    </row>
    <row r="59" spans="1:18" s="15" customFormat="1" x14ac:dyDescent="0.35">
      <c r="A59" s="1"/>
      <c r="B59" s="14"/>
      <c r="C59" s="1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4"/>
      <c r="P59" s="54" t="b">
        <v>0</v>
      </c>
    </row>
    <row r="60" spans="1:18" s="15" customFormat="1" x14ac:dyDescent="0.35">
      <c r="A60" s="1"/>
      <c r="B60" s="14"/>
      <c r="C60" s="1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4"/>
      <c r="P60" s="54" t="b">
        <v>0</v>
      </c>
    </row>
    <row r="61" spans="1:18" s="15" customFormat="1" x14ac:dyDescent="0.35">
      <c r="A61" s="1"/>
      <c r="B61" s="14"/>
      <c r="C61" s="1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54" t="b">
        <v>0</v>
      </c>
    </row>
    <row r="62" spans="1:18" s="15" customFormat="1" x14ac:dyDescent="0.35">
      <c r="A62" s="1"/>
      <c r="B62" s="14"/>
      <c r="C62" s="1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4"/>
      <c r="P62" s="54" t="b">
        <v>0</v>
      </c>
    </row>
    <row r="63" spans="1:18" s="15" customFormat="1" x14ac:dyDescent="0.35">
      <c r="A63" s="1"/>
      <c r="B63" s="14"/>
      <c r="C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4"/>
      <c r="P63" s="54" t="b">
        <v>0</v>
      </c>
    </row>
    <row r="64" spans="1:18" s="15" customFormat="1" x14ac:dyDescent="0.35">
      <c r="A64" s="1"/>
      <c r="B64" s="14"/>
      <c r="C64" s="1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4"/>
      <c r="P64" s="54" t="b">
        <v>0</v>
      </c>
    </row>
    <row r="65" spans="1:16" s="15" customFormat="1" x14ac:dyDescent="0.35">
      <c r="A65" s="1"/>
      <c r="B65" s="14"/>
      <c r="C65" s="1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4"/>
      <c r="P65" s="54" t="b">
        <v>0</v>
      </c>
    </row>
    <row r="66" spans="1:16" s="15" customFormat="1" x14ac:dyDescent="0.35">
      <c r="A66" s="1"/>
      <c r="B66" s="14"/>
      <c r="C66" s="1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4"/>
      <c r="P66" s="54" t="b">
        <v>0</v>
      </c>
    </row>
    <row r="67" spans="1:16" s="15" customFormat="1" x14ac:dyDescent="0.35">
      <c r="A67" s="1"/>
      <c r="B67" s="14"/>
      <c r="C67" s="14"/>
      <c r="D67" s="1"/>
      <c r="E67" s="1"/>
      <c r="F67" s="59"/>
      <c r="G67" s="1"/>
      <c r="H67" s="1"/>
      <c r="I67" s="1"/>
      <c r="J67" s="1"/>
      <c r="K67" s="1"/>
      <c r="L67" s="1"/>
      <c r="M67" s="14"/>
      <c r="N67" s="1"/>
      <c r="O67" s="14"/>
      <c r="P67" s="54" t="b">
        <v>0</v>
      </c>
    </row>
    <row r="68" spans="1:16" s="15" customFormat="1" x14ac:dyDescent="0.35">
      <c r="A68" s="1"/>
      <c r="B68" s="14"/>
      <c r="C68" s="14"/>
      <c r="D68" s="1"/>
      <c r="E68" s="1"/>
      <c r="F68" s="59"/>
      <c r="G68" s="1"/>
      <c r="H68" s="1"/>
      <c r="I68" s="1"/>
      <c r="J68" s="1"/>
      <c r="K68" s="1"/>
      <c r="L68" s="1"/>
      <c r="M68" s="14"/>
      <c r="N68" s="1"/>
      <c r="O68" s="14"/>
      <c r="P68" s="54" t="b">
        <v>0</v>
      </c>
    </row>
    <row r="69" spans="1:16" s="15" customFormat="1" x14ac:dyDescent="0.35">
      <c r="A69" s="1"/>
      <c r="B69" s="14"/>
      <c r="C69" s="14"/>
      <c r="D69" s="1"/>
      <c r="E69" s="1"/>
      <c r="F69" s="59"/>
      <c r="G69" s="1"/>
      <c r="H69" s="1"/>
      <c r="I69" s="1"/>
      <c r="J69" s="1"/>
      <c r="K69" s="1"/>
      <c r="L69" s="1"/>
      <c r="M69" s="14"/>
      <c r="N69" s="1"/>
      <c r="O69" s="14"/>
      <c r="P69" s="54" t="b">
        <v>0</v>
      </c>
    </row>
    <row r="70" spans="1:16" s="15" customFormat="1" x14ac:dyDescent="0.35">
      <c r="A70" s="1"/>
      <c r="B70" s="14"/>
      <c r="C70" s="14"/>
      <c r="D70" s="1"/>
      <c r="E70" s="1"/>
      <c r="F70" s="59"/>
      <c r="G70" s="1"/>
      <c r="H70" s="1"/>
      <c r="I70" s="1"/>
      <c r="J70" s="1"/>
      <c r="K70" s="1"/>
      <c r="L70" s="1"/>
      <c r="M70" s="14"/>
      <c r="N70" s="1"/>
      <c r="O70" s="14"/>
      <c r="P70" s="54" t="b">
        <v>0</v>
      </c>
    </row>
    <row r="71" spans="1:16" s="15" customFormat="1" x14ac:dyDescent="0.35">
      <c r="A71" s="1"/>
      <c r="B71" s="14"/>
      <c r="C71" s="14"/>
      <c r="D71" s="1"/>
      <c r="E71" s="1"/>
      <c r="F71" s="59"/>
      <c r="G71" s="1"/>
      <c r="H71" s="1"/>
      <c r="I71" s="1"/>
      <c r="J71" s="1"/>
      <c r="K71" s="1"/>
      <c r="L71" s="1"/>
      <c r="M71" s="14"/>
      <c r="N71" s="1"/>
      <c r="O71" s="14"/>
      <c r="P71" s="54" t="b">
        <v>0</v>
      </c>
    </row>
    <row r="72" spans="1:16" s="15" customFormat="1" x14ac:dyDescent="0.35">
      <c r="A72" s="1"/>
      <c r="B72" s="14"/>
      <c r="C72" s="14"/>
      <c r="D72" s="1"/>
      <c r="E72" s="1"/>
      <c r="F72" s="59"/>
      <c r="G72" s="1"/>
      <c r="H72" s="1"/>
      <c r="I72" s="1"/>
      <c r="J72" s="1"/>
      <c r="K72" s="1"/>
      <c r="L72" s="1"/>
      <c r="M72" s="14"/>
      <c r="N72" s="1"/>
      <c r="O72" s="14"/>
      <c r="P72" s="54" t="b">
        <v>0</v>
      </c>
    </row>
    <row r="73" spans="1:16" s="15" customFormat="1" x14ac:dyDescent="0.35">
      <c r="A73" s="1"/>
      <c r="B73" s="14"/>
      <c r="C73" s="14"/>
      <c r="D73" s="1"/>
      <c r="E73" s="1"/>
      <c r="F73" s="59"/>
      <c r="G73" s="1"/>
      <c r="H73" s="1"/>
      <c r="I73" s="1"/>
      <c r="J73" s="1"/>
      <c r="K73" s="1"/>
      <c r="L73" s="1"/>
      <c r="M73" s="14"/>
      <c r="N73" s="1"/>
      <c r="O73" s="14"/>
      <c r="P73" s="54" t="b">
        <v>0</v>
      </c>
    </row>
    <row r="74" spans="1:16" s="15" customFormat="1" x14ac:dyDescent="0.35">
      <c r="A74" s="1"/>
      <c r="B74" s="14"/>
      <c r="C74" s="14"/>
      <c r="D74" s="1"/>
      <c r="E74" s="14"/>
      <c r="F74" s="1"/>
      <c r="G74" s="1"/>
      <c r="H74" s="14"/>
      <c r="I74" s="1"/>
      <c r="J74" s="1"/>
      <c r="K74" s="1"/>
      <c r="L74" s="14"/>
      <c r="M74" s="14"/>
      <c r="N74" s="1"/>
      <c r="O74" s="14"/>
      <c r="P74" s="54" t="b">
        <v>0</v>
      </c>
    </row>
    <row r="75" spans="1:16" s="15" customFormat="1" x14ac:dyDescent="0.35">
      <c r="A75" s="1"/>
      <c r="B75" s="14"/>
      <c r="C75" s="14"/>
      <c r="D75" s="1"/>
      <c r="E75" s="14"/>
      <c r="F75" s="1"/>
      <c r="G75" s="1"/>
      <c r="H75" s="14"/>
      <c r="I75" s="1"/>
      <c r="J75" s="1"/>
      <c r="K75" s="1"/>
      <c r="L75" s="14"/>
      <c r="M75" s="14"/>
      <c r="N75" s="1"/>
      <c r="O75" s="14"/>
      <c r="P75" s="54" t="b">
        <v>0</v>
      </c>
    </row>
    <row r="76" spans="1:16" s="15" customFormat="1" x14ac:dyDescent="0.35">
      <c r="A76" s="1"/>
      <c r="B76" s="14"/>
      <c r="C76" s="14"/>
      <c r="D76" s="1"/>
      <c r="E76" s="14"/>
      <c r="F76" s="1"/>
      <c r="G76" s="1"/>
      <c r="H76" s="14"/>
      <c r="I76" s="1"/>
      <c r="J76" s="1"/>
      <c r="K76" s="1"/>
      <c r="L76" s="14"/>
      <c r="M76" s="14"/>
      <c r="N76" s="1"/>
      <c r="O76" s="14"/>
      <c r="P76" s="54" t="b">
        <v>0</v>
      </c>
    </row>
    <row r="77" spans="1:16" s="15" customFormat="1" x14ac:dyDescent="0.35">
      <c r="A77" s="1"/>
      <c r="B77" s="14"/>
      <c r="C77" s="14"/>
      <c r="D77" s="1"/>
      <c r="E77" s="14"/>
      <c r="F77" s="1"/>
      <c r="G77" s="1"/>
      <c r="H77" s="14"/>
      <c r="I77" s="1"/>
      <c r="J77" s="1"/>
      <c r="K77" s="1"/>
      <c r="L77" s="14"/>
      <c r="M77" s="14"/>
      <c r="N77" s="1"/>
      <c r="O77" s="14"/>
      <c r="P77" s="54" t="b">
        <v>0</v>
      </c>
    </row>
    <row r="78" spans="1:16" s="15" customFormat="1" x14ac:dyDescent="0.35">
      <c r="A78" s="1"/>
      <c r="B78" s="14"/>
      <c r="C78" s="14"/>
      <c r="D78" s="1"/>
      <c r="E78" s="14"/>
      <c r="F78" s="1"/>
      <c r="G78" s="1"/>
      <c r="H78" s="14"/>
      <c r="I78" s="1"/>
      <c r="J78" s="1"/>
      <c r="K78" s="1"/>
      <c r="L78" s="14"/>
      <c r="M78" s="14"/>
      <c r="N78" s="1"/>
      <c r="O78" s="14"/>
      <c r="P78" s="54" t="b">
        <v>0</v>
      </c>
    </row>
    <row r="79" spans="1:16" s="15" customFormat="1" x14ac:dyDescent="0.35">
      <c r="A79" s="1"/>
      <c r="B79" s="14"/>
      <c r="C79" s="14"/>
      <c r="D79" s="1"/>
      <c r="E79" s="14"/>
      <c r="F79" s="1"/>
      <c r="G79" s="1"/>
      <c r="H79" s="14"/>
      <c r="I79" s="1"/>
      <c r="J79" s="1"/>
      <c r="K79" s="1"/>
      <c r="L79" s="14"/>
      <c r="M79" s="14"/>
      <c r="N79" s="1"/>
      <c r="O79" s="14"/>
      <c r="P79" s="54" t="b">
        <v>0</v>
      </c>
    </row>
    <row r="80" spans="1:16" s="15" customFormat="1" x14ac:dyDescent="0.35">
      <c r="A80" s="1"/>
      <c r="B80" s="14"/>
      <c r="C80" s="14"/>
      <c r="D80" s="1"/>
      <c r="E80" s="14"/>
      <c r="F80" s="1"/>
      <c r="G80" s="1"/>
      <c r="H80" s="14"/>
      <c r="I80" s="1"/>
      <c r="J80" s="1"/>
      <c r="K80" s="1"/>
      <c r="L80" s="14"/>
      <c r="M80" s="14"/>
      <c r="N80" s="1"/>
      <c r="O80" s="14"/>
      <c r="P80" s="54" t="b">
        <v>0</v>
      </c>
    </row>
    <row r="81" spans="1:16" s="15" customFormat="1" x14ac:dyDescent="0.35">
      <c r="A81" s="1"/>
      <c r="B81" s="14"/>
      <c r="C81" s="14"/>
      <c r="D81" s="1"/>
      <c r="E81" s="14"/>
      <c r="F81" s="1"/>
      <c r="G81" s="1"/>
      <c r="H81" s="14"/>
      <c r="I81" s="1"/>
      <c r="J81" s="1"/>
      <c r="K81" s="1"/>
      <c r="L81" s="14"/>
      <c r="M81" s="14"/>
      <c r="N81" s="1"/>
      <c r="O81" s="14"/>
      <c r="P81" s="54" t="b">
        <v>0</v>
      </c>
    </row>
    <row r="82" spans="1:16" s="15" customFormat="1" x14ac:dyDescent="0.35">
      <c r="A82" s="1"/>
      <c r="B82" s="14"/>
      <c r="C82" s="14"/>
      <c r="D82" s="1"/>
      <c r="E82" s="14"/>
      <c r="F82" s="1"/>
      <c r="G82" s="1"/>
      <c r="H82" s="14"/>
      <c r="I82" s="1"/>
      <c r="J82" s="1"/>
      <c r="K82" s="1"/>
      <c r="L82" s="14"/>
      <c r="M82" s="14"/>
      <c r="N82" s="1"/>
      <c r="O82" s="14"/>
      <c r="P82" s="54" t="b">
        <v>0</v>
      </c>
    </row>
    <row r="83" spans="1:16" s="15" customFormat="1" x14ac:dyDescent="0.35">
      <c r="A83" s="1"/>
      <c r="B83" s="14"/>
      <c r="C83" s="14"/>
      <c r="D83" s="1"/>
      <c r="E83" s="14"/>
      <c r="F83" s="1"/>
      <c r="G83" s="1"/>
      <c r="H83" s="14"/>
      <c r="I83" s="1"/>
      <c r="J83" s="1"/>
      <c r="K83" s="1"/>
      <c r="L83" s="14"/>
      <c r="M83" s="14"/>
      <c r="N83" s="1"/>
      <c r="O83" s="14"/>
      <c r="P83" s="54" t="b">
        <v>0</v>
      </c>
    </row>
    <row r="84" spans="1:16" s="15" customFormat="1" x14ac:dyDescent="0.35">
      <c r="A84" s="1"/>
      <c r="B84" s="14"/>
      <c r="C84" s="14"/>
      <c r="D84" s="1"/>
      <c r="E84" s="14"/>
      <c r="F84" s="1"/>
      <c r="G84" s="1"/>
      <c r="H84" s="14"/>
      <c r="I84" s="1"/>
      <c r="J84" s="1"/>
      <c r="K84" s="1"/>
      <c r="L84" s="14"/>
      <c r="M84" s="14"/>
      <c r="N84" s="1"/>
      <c r="O84" s="14"/>
      <c r="P84" s="54" t="b">
        <v>0</v>
      </c>
    </row>
    <row r="85" spans="1:16" s="15" customFormat="1" x14ac:dyDescent="0.35">
      <c r="A85" s="1"/>
      <c r="B85" s="14"/>
      <c r="C85" s="14"/>
      <c r="D85" s="1"/>
      <c r="E85" s="14"/>
      <c r="F85" s="1"/>
      <c r="G85" s="1"/>
      <c r="H85" s="14"/>
      <c r="I85" s="1"/>
      <c r="J85" s="1"/>
      <c r="K85" s="1"/>
      <c r="L85" s="14"/>
      <c r="M85" s="14"/>
      <c r="N85" s="1"/>
      <c r="O85" s="14"/>
      <c r="P85" s="54" t="b">
        <v>0</v>
      </c>
    </row>
    <row r="86" spans="1:16" s="15" customFormat="1" x14ac:dyDescent="0.35">
      <c r="A86" s="1"/>
      <c r="B86" s="14"/>
      <c r="C86" s="14"/>
      <c r="D86" s="1"/>
      <c r="E86" s="14"/>
      <c r="F86" s="1"/>
      <c r="G86" s="1"/>
      <c r="H86" s="14"/>
      <c r="I86" s="1"/>
      <c r="J86" s="1"/>
      <c r="K86" s="1"/>
      <c r="L86" s="14"/>
      <c r="M86" s="14"/>
      <c r="N86" s="1"/>
      <c r="O86" s="14"/>
      <c r="P86" s="54" t="b">
        <v>0</v>
      </c>
    </row>
    <row r="87" spans="1:16" s="15" customFormat="1" x14ac:dyDescent="0.35">
      <c r="A87" s="1"/>
      <c r="B87" s="14"/>
      <c r="C87" s="14"/>
      <c r="D87" s="1"/>
      <c r="E87" s="14"/>
      <c r="F87" s="1"/>
      <c r="G87" s="1"/>
      <c r="H87" s="14"/>
      <c r="I87" s="1"/>
      <c r="J87" s="1"/>
      <c r="K87" s="1"/>
      <c r="L87" s="14"/>
      <c r="M87" s="14"/>
      <c r="N87" s="1"/>
      <c r="O87" s="14"/>
      <c r="P87" s="54" t="b">
        <v>0</v>
      </c>
    </row>
    <row r="88" spans="1:16" s="15" customFormat="1" x14ac:dyDescent="0.35">
      <c r="A88" s="1"/>
      <c r="B88" s="14"/>
      <c r="C88" s="14"/>
      <c r="D88" s="1"/>
      <c r="E88" s="14"/>
      <c r="F88" s="1"/>
      <c r="G88" s="1"/>
      <c r="H88" s="14"/>
      <c r="I88" s="1"/>
      <c r="J88" s="1"/>
      <c r="K88" s="1"/>
      <c r="L88" s="14"/>
      <c r="M88" s="14"/>
      <c r="N88" s="1"/>
      <c r="O88" s="14"/>
      <c r="P88" s="54" t="b">
        <v>0</v>
      </c>
    </row>
    <row r="89" spans="1:16" s="15" customFormat="1" x14ac:dyDescent="0.35">
      <c r="A89" s="1"/>
      <c r="B89" s="14"/>
      <c r="C89" s="14"/>
      <c r="D89" s="1"/>
      <c r="E89" s="14"/>
      <c r="F89" s="1"/>
      <c r="G89" s="1"/>
      <c r="H89" s="14"/>
      <c r="I89" s="1"/>
      <c r="J89" s="1"/>
      <c r="K89" s="1"/>
      <c r="L89" s="14"/>
      <c r="M89" s="14"/>
      <c r="N89" s="1"/>
      <c r="O89" s="14"/>
      <c r="P89" s="54" t="b">
        <v>0</v>
      </c>
    </row>
    <row r="90" spans="1:16" s="15" customFormat="1" x14ac:dyDescent="0.35">
      <c r="A90" s="1"/>
      <c r="B90" s="14"/>
      <c r="C90" s="14"/>
      <c r="D90" s="1"/>
      <c r="E90" s="14"/>
      <c r="F90" s="1"/>
      <c r="G90" s="1"/>
      <c r="H90" s="14"/>
      <c r="I90" s="1"/>
      <c r="J90" s="1"/>
      <c r="K90" s="1"/>
      <c r="L90" s="14"/>
      <c r="M90" s="14"/>
      <c r="N90" s="1"/>
      <c r="O90" s="14"/>
      <c r="P90" s="54" t="b">
        <v>0</v>
      </c>
    </row>
    <row r="91" spans="1:16" s="15" customFormat="1" x14ac:dyDescent="0.35">
      <c r="A91" s="1"/>
      <c r="B91" s="14"/>
      <c r="C91" s="14"/>
      <c r="D91" s="1"/>
      <c r="E91" s="14"/>
      <c r="F91" s="1"/>
      <c r="G91" s="1"/>
      <c r="H91" s="14"/>
      <c r="I91" s="1"/>
      <c r="J91" s="1"/>
      <c r="K91" s="1"/>
      <c r="L91" s="14"/>
      <c r="M91" s="14"/>
      <c r="N91" s="1"/>
      <c r="O91" s="14"/>
      <c r="P91" s="54" t="b">
        <v>0</v>
      </c>
    </row>
    <row r="92" spans="1:16" s="15" customFormat="1" x14ac:dyDescent="0.35">
      <c r="A92" s="1"/>
      <c r="B92" s="14"/>
      <c r="C92" s="14"/>
      <c r="D92" s="1"/>
      <c r="E92" s="14"/>
      <c r="F92" s="1"/>
      <c r="G92" s="1"/>
      <c r="H92" s="14"/>
      <c r="I92" s="1"/>
      <c r="J92" s="1"/>
      <c r="K92" s="1"/>
      <c r="L92" s="14"/>
      <c r="M92" s="14"/>
      <c r="N92" s="1"/>
      <c r="O92" s="14"/>
      <c r="P92" s="54" t="b">
        <v>0</v>
      </c>
    </row>
    <row r="93" spans="1:16" s="15" customFormat="1" x14ac:dyDescent="0.35">
      <c r="A93" s="1"/>
      <c r="B93" s="14"/>
      <c r="C93" s="14"/>
      <c r="D93" s="1"/>
      <c r="E93" s="14"/>
      <c r="F93" s="1"/>
      <c r="G93" s="1"/>
      <c r="H93" s="14"/>
      <c r="I93" s="1"/>
      <c r="J93" s="1"/>
      <c r="K93" s="1"/>
      <c r="L93" s="14"/>
      <c r="M93" s="14"/>
      <c r="N93" s="1"/>
      <c r="O93" s="14"/>
      <c r="P93" s="54" t="b">
        <v>0</v>
      </c>
    </row>
    <row r="94" spans="1:16" s="15" customFormat="1" x14ac:dyDescent="0.35">
      <c r="A94" s="1"/>
      <c r="B94" s="14"/>
      <c r="C94" s="14"/>
      <c r="D94" s="1"/>
      <c r="E94" s="14"/>
      <c r="F94" s="1"/>
      <c r="G94" s="1"/>
      <c r="H94" s="14"/>
      <c r="I94" s="1"/>
      <c r="J94" s="1"/>
      <c r="K94" s="1"/>
      <c r="L94" s="14"/>
      <c r="M94" s="14"/>
      <c r="N94" s="1"/>
      <c r="O94" s="14"/>
      <c r="P94" s="54" t="b">
        <v>0</v>
      </c>
    </row>
    <row r="95" spans="1:16" s="15" customFormat="1" x14ac:dyDescent="0.35">
      <c r="A95" s="1"/>
      <c r="B95" s="14"/>
      <c r="C95" s="14"/>
      <c r="D95" s="1"/>
      <c r="E95" s="14"/>
      <c r="F95" s="1"/>
      <c r="G95" s="1"/>
      <c r="H95" s="14"/>
      <c r="I95" s="1"/>
      <c r="J95" s="1"/>
      <c r="K95" s="1"/>
      <c r="L95" s="14"/>
      <c r="M95" s="14"/>
      <c r="N95" s="1"/>
      <c r="O95" s="14"/>
      <c r="P95" s="54" t="b">
        <v>0</v>
      </c>
    </row>
    <row r="96" spans="1:16" s="15" customFormat="1" x14ac:dyDescent="0.35">
      <c r="A96" s="1"/>
      <c r="B96" s="14"/>
      <c r="C96" s="14"/>
      <c r="D96" s="1"/>
      <c r="E96" s="14"/>
      <c r="F96" s="1"/>
      <c r="G96" s="1"/>
      <c r="H96" s="14"/>
      <c r="I96" s="1"/>
      <c r="J96" s="1"/>
      <c r="K96" s="1"/>
      <c r="L96" s="14"/>
      <c r="M96" s="14"/>
      <c r="N96" s="1"/>
      <c r="O96" s="14"/>
      <c r="P96" s="54" t="b">
        <v>0</v>
      </c>
    </row>
    <row r="97" spans="1:16" s="15" customFormat="1" x14ac:dyDescent="0.35">
      <c r="A97" s="1"/>
      <c r="B97" s="14"/>
      <c r="C97" s="14"/>
      <c r="D97" s="1"/>
      <c r="E97" s="14"/>
      <c r="F97" s="1"/>
      <c r="G97" s="1"/>
      <c r="H97" s="14"/>
      <c r="I97" s="1"/>
      <c r="J97" s="1"/>
      <c r="K97" s="1"/>
      <c r="L97" s="14"/>
      <c r="M97" s="14"/>
      <c r="N97" s="1"/>
      <c r="O97" s="14"/>
      <c r="P97" s="54" t="b">
        <v>0</v>
      </c>
    </row>
    <row r="98" spans="1:16" s="15" customFormat="1" x14ac:dyDescent="0.35">
      <c r="A98" s="1"/>
      <c r="B98" s="14"/>
      <c r="C98" s="14"/>
      <c r="D98" s="1"/>
      <c r="E98" s="14"/>
      <c r="F98" s="1"/>
      <c r="G98" s="1"/>
      <c r="H98" s="14"/>
      <c r="I98" s="1"/>
      <c r="J98" s="1"/>
      <c r="K98" s="1"/>
      <c r="L98" s="14"/>
      <c r="M98" s="14"/>
      <c r="N98" s="1"/>
      <c r="O98" s="14"/>
      <c r="P98" s="54" t="b">
        <v>0</v>
      </c>
    </row>
    <row r="99" spans="1:16" s="15" customFormat="1" x14ac:dyDescent="0.35">
      <c r="A99" s="1"/>
      <c r="B99" s="14"/>
      <c r="C99" s="14"/>
      <c r="D99" s="1"/>
      <c r="E99" s="14"/>
      <c r="F99" s="1"/>
      <c r="G99" s="1"/>
      <c r="H99" s="14"/>
      <c r="I99" s="1"/>
      <c r="J99" s="1"/>
      <c r="K99" s="1"/>
      <c r="L99" s="14"/>
      <c r="M99" s="14"/>
      <c r="N99" s="1"/>
      <c r="O99" s="14"/>
      <c r="P99" s="54" t="b">
        <v>0</v>
      </c>
    </row>
    <row r="100" spans="1:16" s="15" customFormat="1" x14ac:dyDescent="0.35">
      <c r="A100" s="1"/>
      <c r="B100" s="14"/>
      <c r="C100" s="14"/>
      <c r="D100" s="1"/>
      <c r="E100" s="14"/>
      <c r="F100" s="1"/>
      <c r="G100" s="1"/>
      <c r="H100" s="14"/>
      <c r="I100" s="1"/>
      <c r="J100" s="1"/>
      <c r="K100" s="1"/>
      <c r="L100" s="14"/>
      <c r="M100" s="14"/>
      <c r="N100" s="1"/>
      <c r="O100" s="14"/>
      <c r="P100" s="54" t="b">
        <v>0</v>
      </c>
    </row>
    <row r="101" spans="1:16" s="15" customFormat="1" x14ac:dyDescent="0.35">
      <c r="A101" s="1"/>
      <c r="B101" s="14"/>
      <c r="C101" s="14"/>
      <c r="D101" s="1"/>
      <c r="E101" s="14"/>
      <c r="F101" s="1"/>
      <c r="G101" s="1"/>
      <c r="H101" s="14"/>
      <c r="I101" s="1"/>
      <c r="J101" s="1"/>
      <c r="K101" s="1"/>
      <c r="L101" s="14"/>
      <c r="M101" s="14"/>
      <c r="N101" s="1"/>
      <c r="O101" s="14"/>
      <c r="P101" s="54" t="b">
        <v>0</v>
      </c>
    </row>
    <row r="102" spans="1:16" s="15" customFormat="1" x14ac:dyDescent="0.35">
      <c r="A102" s="1"/>
      <c r="B102" s="14"/>
      <c r="C102" s="14"/>
      <c r="D102" s="1"/>
      <c r="E102" s="14"/>
      <c r="F102" s="1"/>
      <c r="G102" s="1"/>
      <c r="H102" s="14"/>
      <c r="I102" s="14"/>
      <c r="J102" s="1"/>
      <c r="K102" s="14"/>
      <c r="L102" s="14"/>
      <c r="M102" s="14"/>
      <c r="N102" s="1"/>
      <c r="O102" s="14"/>
      <c r="P102" s="54" t="b">
        <v>0</v>
      </c>
    </row>
    <row r="103" spans="1:16" s="15" customFormat="1" x14ac:dyDescent="0.35">
      <c r="A103" s="1"/>
      <c r="B103" s="14"/>
      <c r="C103" s="14"/>
      <c r="D103" s="1"/>
      <c r="E103" s="14"/>
      <c r="F103" s="1"/>
      <c r="G103" s="1"/>
      <c r="H103" s="14"/>
      <c r="I103" s="14"/>
      <c r="J103" s="1"/>
      <c r="K103" s="14"/>
      <c r="L103" s="14"/>
      <c r="M103" s="14"/>
      <c r="N103" s="1"/>
      <c r="O103" s="14"/>
      <c r="P103" s="54" t="b">
        <v>0</v>
      </c>
    </row>
    <row r="104" spans="1:16" s="15" customFormat="1" x14ac:dyDescent="0.35">
      <c r="A104" s="1"/>
      <c r="B104" s="14"/>
      <c r="C104" s="14"/>
      <c r="D104" s="1"/>
      <c r="E104" s="14"/>
      <c r="F104" s="1"/>
      <c r="G104" s="1"/>
      <c r="H104" s="14"/>
      <c r="I104" s="14"/>
      <c r="J104" s="1"/>
      <c r="K104" s="14"/>
      <c r="L104" s="14"/>
      <c r="M104" s="14"/>
      <c r="N104" s="1"/>
      <c r="O104" s="14"/>
      <c r="P104" s="54" t="b">
        <v>0</v>
      </c>
    </row>
    <row r="105" spans="1:16" s="15" customFormat="1" x14ac:dyDescent="0.35">
      <c r="A105" s="1"/>
      <c r="B105" s="14"/>
      <c r="C105" s="14"/>
      <c r="D105" s="1"/>
      <c r="E105" s="14"/>
      <c r="F105" s="1"/>
      <c r="G105" s="1"/>
      <c r="H105" s="14"/>
      <c r="I105" s="14"/>
      <c r="J105" s="1"/>
      <c r="K105" s="14"/>
      <c r="L105" s="14"/>
      <c r="M105" s="14"/>
      <c r="N105" s="1"/>
      <c r="O105" s="14"/>
      <c r="P105" s="54" t="b">
        <v>0</v>
      </c>
    </row>
    <row r="106" spans="1:16" s="15" customFormat="1" x14ac:dyDescent="0.35">
      <c r="A106" s="1"/>
      <c r="B106" s="14"/>
      <c r="C106" s="14"/>
      <c r="D106" s="1"/>
      <c r="E106" s="14"/>
      <c r="F106" s="1"/>
      <c r="G106" s="1"/>
      <c r="H106" s="14"/>
      <c r="I106" s="14"/>
      <c r="J106" s="1"/>
      <c r="K106" s="14"/>
      <c r="L106" s="14"/>
      <c r="M106" s="14"/>
      <c r="N106" s="1"/>
      <c r="O106" s="14"/>
      <c r="P106" s="54" t="b">
        <v>0</v>
      </c>
    </row>
    <row r="107" spans="1:16" s="15" customFormat="1" x14ac:dyDescent="0.35">
      <c r="A107" s="1"/>
      <c r="B107" s="14"/>
      <c r="C107" s="14"/>
      <c r="D107" s="1"/>
      <c r="E107" s="14"/>
      <c r="F107" s="1"/>
      <c r="G107" s="1"/>
      <c r="H107" s="14"/>
      <c r="I107" s="14"/>
      <c r="J107" s="1"/>
      <c r="K107" s="14"/>
      <c r="L107" s="14"/>
      <c r="M107" s="14"/>
      <c r="N107" s="1"/>
      <c r="O107" s="14"/>
      <c r="P107" s="54" t="b">
        <v>0</v>
      </c>
    </row>
    <row r="108" spans="1:16" s="15" customFormat="1" x14ac:dyDescent="0.35">
      <c r="A108" s="1"/>
      <c r="B108" s="14"/>
      <c r="C108" s="14"/>
      <c r="D108" s="1"/>
      <c r="E108" s="14"/>
      <c r="F108" s="1"/>
      <c r="G108" s="1"/>
      <c r="H108" s="14"/>
      <c r="I108" s="14"/>
      <c r="J108" s="1"/>
      <c r="K108" s="14"/>
      <c r="L108" s="14"/>
      <c r="M108" s="14"/>
      <c r="N108" s="1"/>
      <c r="O108" s="14"/>
      <c r="P108" s="54" t="b">
        <v>0</v>
      </c>
    </row>
    <row r="109" spans="1:16" s="15" customFormat="1" x14ac:dyDescent="0.35">
      <c r="A109" s="1"/>
      <c r="B109" s="14"/>
      <c r="C109" s="14"/>
      <c r="D109" s="1"/>
      <c r="E109" s="14"/>
      <c r="F109" s="1"/>
      <c r="G109" s="1"/>
      <c r="H109" s="14"/>
      <c r="I109" s="14"/>
      <c r="J109" s="1"/>
      <c r="K109" s="14"/>
      <c r="L109" s="14"/>
      <c r="M109" s="14"/>
      <c r="N109" s="1"/>
      <c r="O109" s="14"/>
      <c r="P109" s="54" t="b">
        <v>0</v>
      </c>
    </row>
    <row r="110" spans="1:16" s="15" customFormat="1" x14ac:dyDescent="0.35">
      <c r="A110" s="1"/>
      <c r="B110" s="14"/>
      <c r="C110" s="14"/>
      <c r="D110" s="1"/>
      <c r="E110" s="14"/>
      <c r="F110" s="1"/>
      <c r="G110" s="1"/>
      <c r="H110" s="14"/>
      <c r="I110" s="14"/>
      <c r="J110" s="1"/>
      <c r="K110" s="14"/>
      <c r="L110" s="14"/>
      <c r="M110" s="14"/>
      <c r="N110" s="1"/>
      <c r="O110" s="14"/>
      <c r="P110" s="54" t="b">
        <v>0</v>
      </c>
    </row>
    <row r="111" spans="1:16" s="15" customFormat="1" x14ac:dyDescent="0.35">
      <c r="A111" s="1"/>
      <c r="B111" s="14"/>
      <c r="C111" s="14"/>
      <c r="D111" s="1"/>
      <c r="E111" s="14"/>
      <c r="F111" s="1"/>
      <c r="G111" s="1"/>
      <c r="H111" s="14"/>
      <c r="I111" s="14"/>
      <c r="J111" s="1"/>
      <c r="K111" s="14"/>
      <c r="L111" s="14"/>
      <c r="M111" s="14"/>
      <c r="N111" s="1"/>
      <c r="O111" s="14"/>
      <c r="P111" s="54" t="b">
        <v>0</v>
      </c>
    </row>
    <row r="112" spans="1:16" s="15" customFormat="1" x14ac:dyDescent="0.35">
      <c r="A112" s="1"/>
      <c r="B112" s="14"/>
      <c r="C112" s="14"/>
      <c r="D112" s="1"/>
      <c r="E112" s="14"/>
      <c r="F112" s="1"/>
      <c r="G112" s="1"/>
      <c r="H112" s="14"/>
      <c r="I112" s="14"/>
      <c r="J112" s="1"/>
      <c r="K112" s="14"/>
      <c r="L112" s="14"/>
      <c r="M112" s="14"/>
      <c r="N112" s="1"/>
      <c r="O112" s="14"/>
      <c r="P112" s="54" t="b">
        <v>0</v>
      </c>
    </row>
    <row r="113" spans="1:16" s="15" customFormat="1" x14ac:dyDescent="0.35">
      <c r="A113" s="1"/>
      <c r="B113" s="14"/>
      <c r="C113" s="14"/>
      <c r="D113" s="1"/>
      <c r="E113" s="14"/>
      <c r="F113" s="1"/>
      <c r="G113" s="1"/>
      <c r="H113" s="14"/>
      <c r="I113" s="14"/>
      <c r="J113" s="1"/>
      <c r="K113" s="14"/>
      <c r="L113" s="14"/>
      <c r="M113" s="14"/>
      <c r="N113" s="1"/>
      <c r="O113" s="14"/>
      <c r="P113" s="54" t="b">
        <v>0</v>
      </c>
    </row>
    <row r="114" spans="1:16" s="15" customFormat="1" x14ac:dyDescent="0.35">
      <c r="A114" s="1"/>
      <c r="B114" s="14"/>
      <c r="C114" s="14"/>
      <c r="D114" s="1"/>
      <c r="E114" s="14"/>
      <c r="F114" s="1"/>
      <c r="G114" s="1"/>
      <c r="H114" s="14"/>
      <c r="I114" s="14"/>
      <c r="J114" s="1"/>
      <c r="K114" s="14"/>
      <c r="L114" s="14"/>
      <c r="M114" s="14"/>
      <c r="N114" s="1"/>
      <c r="O114" s="14"/>
      <c r="P114" s="54" t="b">
        <v>0</v>
      </c>
    </row>
    <row r="115" spans="1:16" s="15" customFormat="1" x14ac:dyDescent="0.35">
      <c r="A115" s="1"/>
      <c r="B115" s="14"/>
      <c r="C115" s="14"/>
      <c r="D115" s="1"/>
      <c r="E115" s="14"/>
      <c r="F115" s="1"/>
      <c r="G115" s="1"/>
      <c r="H115" s="14"/>
      <c r="I115" s="14"/>
      <c r="J115" s="1"/>
      <c r="K115" s="14"/>
      <c r="L115" s="14"/>
      <c r="M115" s="14"/>
      <c r="N115" s="1"/>
      <c r="O115" s="14"/>
      <c r="P115" s="54" t="b">
        <v>0</v>
      </c>
    </row>
    <row r="116" spans="1:16" s="15" customFormat="1" x14ac:dyDescent="0.35">
      <c r="A116" s="1"/>
      <c r="B116" s="14"/>
      <c r="C116" s="14"/>
      <c r="D116" s="1"/>
      <c r="E116" s="14"/>
      <c r="F116" s="1"/>
      <c r="G116" s="1"/>
      <c r="H116" s="14"/>
      <c r="I116" s="14"/>
      <c r="J116" s="1"/>
      <c r="K116" s="14"/>
      <c r="L116" s="14"/>
      <c r="M116" s="14"/>
      <c r="N116" s="1"/>
      <c r="O116" s="14"/>
      <c r="P116" s="54" t="b">
        <v>0</v>
      </c>
    </row>
    <row r="117" spans="1:16" s="15" customFormat="1" x14ac:dyDescent="0.35">
      <c r="A117" s="1"/>
      <c r="B117" s="14"/>
      <c r="C117" s="14"/>
      <c r="D117" s="1"/>
      <c r="E117" s="14"/>
      <c r="F117" s="1"/>
      <c r="G117" s="1"/>
      <c r="H117" s="14"/>
      <c r="I117" s="14"/>
      <c r="J117" s="1"/>
      <c r="K117" s="14"/>
      <c r="L117" s="14"/>
      <c r="M117" s="14"/>
      <c r="N117" s="1"/>
      <c r="O117" s="14"/>
      <c r="P117" s="54" t="b">
        <v>0</v>
      </c>
    </row>
    <row r="118" spans="1:16" s="15" customFormat="1" x14ac:dyDescent="0.35">
      <c r="A118" s="1"/>
      <c r="B118" s="14"/>
      <c r="C118" s="14"/>
      <c r="D118" s="1"/>
      <c r="E118" s="14"/>
      <c r="F118" s="1"/>
      <c r="G118" s="1"/>
      <c r="H118" s="14"/>
      <c r="I118" s="14"/>
      <c r="J118" s="1"/>
      <c r="K118" s="14"/>
      <c r="L118" s="14"/>
      <c r="M118" s="14"/>
      <c r="N118" s="1"/>
      <c r="O118" s="14"/>
      <c r="P118" s="54" t="b">
        <v>0</v>
      </c>
    </row>
    <row r="119" spans="1:16" s="15" customFormat="1" x14ac:dyDescent="0.35">
      <c r="A119" s="1"/>
      <c r="B119" s="14"/>
      <c r="C119" s="14"/>
      <c r="D119" s="1"/>
      <c r="E119" s="14"/>
      <c r="F119" s="1"/>
      <c r="G119" s="1"/>
      <c r="H119" s="14"/>
      <c r="I119" s="14"/>
      <c r="J119" s="1"/>
      <c r="K119" s="14"/>
      <c r="L119" s="14"/>
      <c r="M119" s="14"/>
      <c r="N119" s="1"/>
      <c r="O119" s="14"/>
      <c r="P119" s="54" t="b">
        <v>0</v>
      </c>
    </row>
    <row r="120" spans="1:16" s="15" customFormat="1" x14ac:dyDescent="0.35">
      <c r="A120" s="1"/>
      <c r="B120" s="14"/>
      <c r="C120" s="14"/>
      <c r="D120" s="1"/>
      <c r="E120" s="14"/>
      <c r="F120" s="1"/>
      <c r="G120" s="1"/>
      <c r="H120" s="14"/>
      <c r="I120" s="14"/>
      <c r="J120" s="1"/>
      <c r="K120" s="14"/>
      <c r="L120" s="14"/>
      <c r="M120" s="14"/>
      <c r="N120" s="1"/>
      <c r="O120" s="14"/>
      <c r="P120" s="54" t="b">
        <v>0</v>
      </c>
    </row>
    <row r="121" spans="1:16" s="15" customFormat="1" x14ac:dyDescent="0.35">
      <c r="A121" s="1"/>
      <c r="B121" s="14"/>
      <c r="C121" s="14"/>
      <c r="D121" s="1"/>
      <c r="E121" s="14"/>
      <c r="F121" s="1"/>
      <c r="G121" s="1"/>
      <c r="H121" s="14"/>
      <c r="I121" s="14"/>
      <c r="J121" s="1"/>
      <c r="K121" s="14"/>
      <c r="L121" s="14"/>
      <c r="M121" s="14"/>
      <c r="N121" s="1"/>
      <c r="O121" s="14"/>
      <c r="P121" s="54" t="b">
        <v>0</v>
      </c>
    </row>
    <row r="122" spans="1:16" s="15" customFormat="1" x14ac:dyDescent="0.35">
      <c r="A122" s="1"/>
      <c r="B122" s="14"/>
      <c r="C122" s="14"/>
      <c r="D122" s="1"/>
      <c r="E122" s="14"/>
      <c r="F122" s="1"/>
      <c r="G122" s="1"/>
      <c r="H122" s="14"/>
      <c r="I122" s="14"/>
      <c r="J122" s="1"/>
      <c r="K122" s="14"/>
      <c r="L122" s="14"/>
      <c r="M122" s="14"/>
      <c r="N122" s="1"/>
      <c r="O122" s="14"/>
      <c r="P122" s="54" t="b">
        <v>0</v>
      </c>
    </row>
    <row r="123" spans="1:16" s="15" customFormat="1" x14ac:dyDescent="0.35">
      <c r="A123" s="1"/>
      <c r="B123" s="14"/>
      <c r="C123" s="14"/>
      <c r="D123" s="1"/>
      <c r="E123" s="14"/>
      <c r="F123" s="1"/>
      <c r="G123" s="1"/>
      <c r="H123" s="14"/>
      <c r="I123" s="14"/>
      <c r="J123" s="1"/>
      <c r="K123" s="14"/>
      <c r="L123" s="14"/>
      <c r="M123" s="14"/>
      <c r="N123" s="1"/>
      <c r="O123" s="14"/>
      <c r="P123" s="54" t="b">
        <v>0</v>
      </c>
    </row>
    <row r="124" spans="1:16" s="15" customFormat="1" x14ac:dyDescent="0.35">
      <c r="A124" s="1"/>
      <c r="B124" s="14"/>
      <c r="C124" s="14"/>
      <c r="D124" s="1"/>
      <c r="E124" s="14"/>
      <c r="F124" s="1"/>
      <c r="G124" s="1"/>
      <c r="H124" s="14"/>
      <c r="I124" s="14"/>
      <c r="J124" s="1"/>
      <c r="K124" s="14"/>
      <c r="L124" s="14"/>
      <c r="M124" s="14"/>
      <c r="N124" s="1"/>
      <c r="O124" s="14"/>
      <c r="P124" s="54" t="b">
        <v>0</v>
      </c>
    </row>
    <row r="125" spans="1:16" s="15" customFormat="1" x14ac:dyDescent="0.35">
      <c r="A125" s="1"/>
      <c r="B125" s="14"/>
      <c r="C125" s="14"/>
      <c r="D125" s="1"/>
      <c r="E125" s="14"/>
      <c r="F125" s="1"/>
      <c r="G125" s="1"/>
      <c r="H125" s="14"/>
      <c r="I125" s="14"/>
      <c r="J125" s="1"/>
      <c r="K125" s="14"/>
      <c r="L125" s="14"/>
      <c r="M125" s="14"/>
      <c r="N125" s="1"/>
      <c r="O125" s="14"/>
      <c r="P125" s="54" t="b">
        <v>0</v>
      </c>
    </row>
    <row r="126" spans="1:16" s="15" customFormat="1" x14ac:dyDescent="0.35">
      <c r="A126" s="1"/>
      <c r="B126" s="14"/>
      <c r="C126" s="14"/>
      <c r="D126" s="1"/>
      <c r="E126" s="14"/>
      <c r="F126" s="1"/>
      <c r="G126" s="1"/>
      <c r="H126" s="14"/>
      <c r="I126" s="14"/>
      <c r="J126" s="1"/>
      <c r="K126" s="14"/>
      <c r="L126" s="14"/>
      <c r="M126" s="14"/>
      <c r="N126" s="1"/>
      <c r="O126" s="14"/>
      <c r="P126" s="54" t="b">
        <v>0</v>
      </c>
    </row>
    <row r="127" spans="1:16" s="15" customFormat="1" x14ac:dyDescent="0.35">
      <c r="A127" s="1"/>
      <c r="B127" s="14"/>
      <c r="C127" s="14"/>
      <c r="D127" s="1"/>
      <c r="E127" s="14"/>
      <c r="F127" s="1"/>
      <c r="G127" s="1"/>
      <c r="H127" s="14"/>
      <c r="I127" s="14"/>
      <c r="J127" s="1"/>
      <c r="K127" s="14"/>
      <c r="L127" s="14"/>
      <c r="M127" s="14"/>
      <c r="N127" s="1"/>
      <c r="O127" s="14"/>
      <c r="P127" s="54" t="b">
        <v>0</v>
      </c>
    </row>
    <row r="128" spans="1:16" s="15" customFormat="1" x14ac:dyDescent="0.35">
      <c r="A128" s="1"/>
      <c r="B128" s="14"/>
      <c r="C128" s="14"/>
      <c r="D128" s="1"/>
      <c r="E128" s="14"/>
      <c r="F128" s="1"/>
      <c r="G128" s="1"/>
      <c r="H128" s="14"/>
      <c r="I128" s="14"/>
      <c r="J128" s="1"/>
      <c r="K128" s="14"/>
      <c r="L128" s="14"/>
      <c r="M128" s="14"/>
      <c r="N128" s="1"/>
      <c r="O128" s="14"/>
      <c r="P128" s="54" t="b">
        <v>0</v>
      </c>
    </row>
    <row r="129" spans="1:16" s="15" customFormat="1" x14ac:dyDescent="0.35">
      <c r="A129" s="1"/>
      <c r="B129" s="14"/>
      <c r="C129" s="14"/>
      <c r="D129" s="1"/>
      <c r="E129" s="14"/>
      <c r="F129" s="1"/>
      <c r="G129" s="1"/>
      <c r="H129" s="14"/>
      <c r="I129" s="14"/>
      <c r="J129" s="1"/>
      <c r="K129" s="14"/>
      <c r="L129" s="14"/>
      <c r="M129" s="14"/>
      <c r="N129" s="1"/>
      <c r="O129" s="14"/>
      <c r="P129" s="54" t="b">
        <v>0</v>
      </c>
    </row>
    <row r="130" spans="1:16" s="15" customFormat="1" x14ac:dyDescent="0.35">
      <c r="A130" s="1"/>
      <c r="B130" s="14"/>
      <c r="C130" s="14"/>
      <c r="D130" s="14"/>
      <c r="E130" s="14"/>
      <c r="F130" s="1"/>
      <c r="G130" s="1"/>
      <c r="H130" s="14"/>
      <c r="I130" s="14"/>
      <c r="J130" s="1"/>
      <c r="K130" s="14"/>
      <c r="L130" s="14"/>
      <c r="M130" s="14"/>
      <c r="N130" s="1"/>
      <c r="O130" s="14"/>
      <c r="P130" s="54" t="b">
        <v>0</v>
      </c>
    </row>
    <row r="131" spans="1:16" s="15" customFormat="1" x14ac:dyDescent="0.35">
      <c r="A131" s="1"/>
      <c r="B131" s="14"/>
      <c r="C131" s="14"/>
      <c r="D131" s="14"/>
      <c r="E131" s="14"/>
      <c r="F131" s="1"/>
      <c r="G131" s="1"/>
      <c r="H131" s="14"/>
      <c r="I131" s="14"/>
      <c r="J131" s="1"/>
      <c r="K131" s="14"/>
      <c r="L131" s="14"/>
      <c r="M131" s="14"/>
      <c r="N131" s="1"/>
      <c r="O131" s="14"/>
      <c r="P131" s="54" t="b">
        <v>0</v>
      </c>
    </row>
    <row r="132" spans="1:16" s="15" customFormat="1" x14ac:dyDescent="0.35">
      <c r="A132" s="1"/>
      <c r="B132" s="14"/>
      <c r="C132" s="14"/>
      <c r="D132" s="14"/>
      <c r="E132" s="14"/>
      <c r="F132" s="1"/>
      <c r="G132" s="1"/>
      <c r="H132" s="14"/>
      <c r="I132" s="14"/>
      <c r="J132" s="1"/>
      <c r="K132" s="14"/>
      <c r="L132" s="14"/>
      <c r="M132" s="14"/>
      <c r="N132" s="1"/>
      <c r="O132" s="14"/>
      <c r="P132" s="54" t="b">
        <v>0</v>
      </c>
    </row>
    <row r="133" spans="1:16" s="15" customFormat="1" x14ac:dyDescent="0.35">
      <c r="A133" s="1"/>
      <c r="B133" s="14"/>
      <c r="C133" s="14"/>
      <c r="D133" s="14"/>
      <c r="E133" s="14"/>
      <c r="F133" s="1"/>
      <c r="G133" s="1"/>
      <c r="H133" s="14"/>
      <c r="I133" s="14"/>
      <c r="J133" s="1"/>
      <c r="K133" s="14"/>
      <c r="L133" s="14"/>
      <c r="M133" s="14"/>
      <c r="N133" s="1"/>
      <c r="O133" s="14"/>
      <c r="P133" s="54" t="b">
        <v>0</v>
      </c>
    </row>
    <row r="134" spans="1:16" s="15" customFormat="1" x14ac:dyDescent="0.35">
      <c r="A134" s="1"/>
      <c r="B134" s="14"/>
      <c r="C134" s="14"/>
      <c r="D134" s="14"/>
      <c r="E134" s="14"/>
      <c r="F134" s="1"/>
      <c r="G134" s="1"/>
      <c r="H134" s="14"/>
      <c r="I134" s="14"/>
      <c r="J134" s="1"/>
      <c r="K134" s="14"/>
      <c r="L134" s="14"/>
      <c r="M134" s="14"/>
      <c r="N134" s="1"/>
      <c r="O134" s="14"/>
      <c r="P134" s="54" t="b">
        <v>0</v>
      </c>
    </row>
    <row r="135" spans="1:16" s="15" customFormat="1" x14ac:dyDescent="0.35">
      <c r="A135" s="1"/>
      <c r="B135" s="14"/>
      <c r="C135" s="14"/>
      <c r="D135" s="14"/>
      <c r="E135" s="14"/>
      <c r="F135" s="1"/>
      <c r="G135" s="1"/>
      <c r="H135" s="14"/>
      <c r="I135" s="14"/>
      <c r="J135" s="1"/>
      <c r="K135" s="14"/>
      <c r="L135" s="14"/>
      <c r="M135" s="14"/>
      <c r="N135" s="1"/>
      <c r="O135" s="14"/>
      <c r="P135" s="54" t="b">
        <v>0</v>
      </c>
    </row>
    <row r="136" spans="1:16" s="15" customFormat="1" x14ac:dyDescent="0.35">
      <c r="A136" s="1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</row>
    <row r="137" spans="1:16" s="15" customFormat="1" x14ac:dyDescent="0.35">
      <c r="A137" s="1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</row>
    <row r="138" spans="1:16" s="15" customFormat="1" x14ac:dyDescent="0.3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</row>
  </sheetData>
  <autoFilter ref="A2:U125" xr:uid="{CDB84B5B-7C46-4285-BAAF-B7ACC6E58750}"/>
  <dataValidations count="1">
    <dataValidation type="list" allowBlank="1" showInputMessage="1" showErrorMessage="1" sqref="N26:O27 N136:N142 O62:O142 N143:O1048576 N29:O32 O54:O56" xr:uid="{88595441-3CF4-4511-8790-30AEB3CC48FE}">
      <formula1>#REF!</formula1>
    </dataValidation>
  </dataValidations>
  <hyperlinks>
    <hyperlink ref="U3" r:id="rId1" xr:uid="{801DD2FA-6D4A-462D-9E74-EFE7B8FF3665}"/>
  </hyperlinks>
  <pageMargins left="0.7" right="0.7" top="0.75" bottom="0.75" header="0.3" footer="0.3"/>
  <pageSetup orientation="portrait" r:id="rId2"/>
  <drawing r:id="rId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B6A4-A909-44C4-9CCA-FDC4F91E19E7}">
  <dimension ref="A1:Q97"/>
  <sheetViews>
    <sheetView zoomScale="85" zoomScaleNormal="85" workbookViewId="0">
      <selection activeCell="E22" sqref="E22"/>
    </sheetView>
  </sheetViews>
  <sheetFormatPr defaultRowHeight="14.5" x14ac:dyDescent="0.35"/>
  <cols>
    <col min="1" max="1" width="10.81640625" style="2" customWidth="1"/>
    <col min="2" max="2" width="20.81640625" style="2" bestFit="1" customWidth="1"/>
    <col min="3" max="6" width="12.54296875" style="2" customWidth="1"/>
    <col min="7" max="7" width="20.453125" style="2" bestFit="1" customWidth="1"/>
    <col min="8" max="8" width="25.453125" style="2" customWidth="1"/>
    <col min="9" max="9" width="33" style="2" bestFit="1" customWidth="1"/>
    <col min="10" max="10" width="26.54296875" style="2" bestFit="1" customWidth="1"/>
    <col min="11" max="11" width="15.453125" style="2" bestFit="1" customWidth="1"/>
    <col min="12" max="12" width="20.81640625" style="2" customWidth="1"/>
    <col min="13" max="13" width="12.81640625" style="2" customWidth="1"/>
    <col min="14" max="14" width="20.81640625" style="2" customWidth="1"/>
    <col min="15" max="15" width="12.81640625" style="2" customWidth="1"/>
    <col min="16" max="17" width="20.81640625" customWidth="1"/>
  </cols>
  <sheetData>
    <row r="1" spans="1:17" ht="60" customHeight="1" x14ac:dyDescent="0.35">
      <c r="G1" s="11" t="s">
        <v>37</v>
      </c>
      <c r="P1" s="12" t="s">
        <v>38</v>
      </c>
      <c r="Q1" s="13" t="s">
        <v>39</v>
      </c>
    </row>
    <row r="2" spans="1:17" x14ac:dyDescent="0.35">
      <c r="A2" s="10" t="s">
        <v>40</v>
      </c>
      <c r="B2" s="10" t="s">
        <v>41</v>
      </c>
      <c r="C2" s="10" t="s">
        <v>42</v>
      </c>
      <c r="D2" s="10" t="s">
        <v>43</v>
      </c>
      <c r="E2" s="10" t="s">
        <v>44</v>
      </c>
      <c r="F2" s="10" t="s">
        <v>45</v>
      </c>
      <c r="G2" s="10" t="s">
        <v>46</v>
      </c>
      <c r="H2" s="10" t="s">
        <v>47</v>
      </c>
      <c r="I2" s="10" t="s">
        <v>48</v>
      </c>
      <c r="J2" s="10" t="s">
        <v>49</v>
      </c>
      <c r="K2" s="10" t="s">
        <v>50</v>
      </c>
      <c r="L2" s="10" t="s">
        <v>51</v>
      </c>
      <c r="M2" s="10" t="s">
        <v>52</v>
      </c>
      <c r="N2" s="10" t="s">
        <v>53</v>
      </c>
      <c r="O2" s="10" t="s">
        <v>54</v>
      </c>
      <c r="P2" s="5" t="s">
        <v>55</v>
      </c>
    </row>
    <row r="3" spans="1:17" x14ac:dyDescent="0.35">
      <c r="A3" s="4" t="s">
        <v>498</v>
      </c>
      <c r="B3" s="1" t="s">
        <v>499</v>
      </c>
      <c r="C3" s="1" t="s">
        <v>74</v>
      </c>
      <c r="D3" s="1" t="s">
        <v>500</v>
      </c>
      <c r="E3" s="1" t="s">
        <v>85</v>
      </c>
      <c r="F3" s="1" t="s">
        <v>117</v>
      </c>
      <c r="G3" s="1">
        <v>3</v>
      </c>
      <c r="H3" s="1" t="s">
        <v>501</v>
      </c>
      <c r="I3" s="1" t="s">
        <v>461</v>
      </c>
      <c r="J3" s="1" t="s">
        <v>502</v>
      </c>
      <c r="K3" s="1"/>
      <c r="L3" s="1"/>
      <c r="M3" s="1"/>
      <c r="N3" s="1"/>
      <c r="O3" s="1"/>
      <c r="P3" s="6" t="b">
        <v>0</v>
      </c>
    </row>
    <row r="4" spans="1:17" x14ac:dyDescent="0.35">
      <c r="A4" s="4" t="s">
        <v>498</v>
      </c>
      <c r="B4" s="1" t="s">
        <v>503</v>
      </c>
      <c r="C4" s="1" t="s">
        <v>74</v>
      </c>
      <c r="D4" s="1" t="s">
        <v>500</v>
      </c>
      <c r="E4" s="1" t="s">
        <v>82</v>
      </c>
      <c r="F4" s="1" t="s">
        <v>117</v>
      </c>
      <c r="G4" s="1">
        <v>3</v>
      </c>
      <c r="H4" s="1">
        <v>6</v>
      </c>
      <c r="I4" s="1" t="s">
        <v>461</v>
      </c>
      <c r="J4" s="1" t="s">
        <v>504</v>
      </c>
      <c r="K4" s="1"/>
      <c r="L4" s="1"/>
      <c r="M4" s="1"/>
      <c r="N4" s="1"/>
      <c r="O4" s="1"/>
      <c r="P4" s="6" t="b">
        <v>0</v>
      </c>
    </row>
    <row r="5" spans="1:17" x14ac:dyDescent="0.35">
      <c r="A5" s="4" t="s">
        <v>498</v>
      </c>
      <c r="B5" s="1" t="s">
        <v>505</v>
      </c>
      <c r="C5" s="1" t="s">
        <v>74</v>
      </c>
      <c r="D5" s="1" t="s">
        <v>500</v>
      </c>
      <c r="E5" s="1" t="s">
        <v>88</v>
      </c>
      <c r="F5" s="1" t="s">
        <v>117</v>
      </c>
      <c r="G5" s="1">
        <v>3</v>
      </c>
      <c r="H5" s="1" t="s">
        <v>506</v>
      </c>
      <c r="I5" s="1" t="s">
        <v>461</v>
      </c>
      <c r="J5" s="1" t="s">
        <v>507</v>
      </c>
      <c r="K5" s="1"/>
      <c r="L5" s="1"/>
      <c r="M5" s="1"/>
      <c r="N5" s="1"/>
      <c r="O5" s="1"/>
      <c r="P5" s="6" t="b">
        <v>0</v>
      </c>
    </row>
    <row r="6" spans="1:17" x14ac:dyDescent="0.35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6" t="b">
        <v>0</v>
      </c>
    </row>
    <row r="7" spans="1:17" x14ac:dyDescent="0.35">
      <c r="A7" s="98" t="s">
        <v>699</v>
      </c>
      <c r="B7" s="1" t="s">
        <v>700</v>
      </c>
      <c r="C7" s="1" t="s">
        <v>74</v>
      </c>
      <c r="D7" s="1">
        <v>10</v>
      </c>
      <c r="E7" s="1" t="s">
        <v>75</v>
      </c>
      <c r="F7" s="1" t="s">
        <v>110</v>
      </c>
      <c r="G7" s="1">
        <v>2</v>
      </c>
      <c r="H7" s="1">
        <v>3</v>
      </c>
      <c r="I7" s="1" t="s">
        <v>701</v>
      </c>
      <c r="J7" s="1" t="s">
        <v>702</v>
      </c>
      <c r="K7" s="1"/>
      <c r="L7" s="1"/>
      <c r="M7" s="1"/>
      <c r="N7" s="1"/>
      <c r="O7" s="1"/>
      <c r="P7" s="6" t="b">
        <v>0</v>
      </c>
    </row>
    <row r="8" spans="1:17" x14ac:dyDescent="0.35">
      <c r="A8" s="3" t="s">
        <v>699</v>
      </c>
      <c r="B8" s="1" t="s">
        <v>700</v>
      </c>
      <c r="C8" s="1" t="s">
        <v>510</v>
      </c>
      <c r="D8" s="1">
        <v>30</v>
      </c>
      <c r="E8" s="1" t="s">
        <v>75</v>
      </c>
      <c r="F8" s="1" t="s">
        <v>110</v>
      </c>
      <c r="G8" s="1">
        <v>2</v>
      </c>
      <c r="H8" s="1" t="s">
        <v>703</v>
      </c>
      <c r="I8" s="1" t="s">
        <v>704</v>
      </c>
      <c r="J8" s="1" t="s">
        <v>705</v>
      </c>
      <c r="K8" s="1"/>
      <c r="L8" s="1"/>
      <c r="M8" s="1"/>
      <c r="N8" s="1"/>
      <c r="O8" s="1"/>
      <c r="P8" s="6" t="b">
        <v>0</v>
      </c>
    </row>
    <row r="9" spans="1:17" x14ac:dyDescent="0.35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6" t="b">
        <v>0</v>
      </c>
    </row>
    <row r="10" spans="1:17" x14ac:dyDescent="0.35">
      <c r="A10" s="3" t="s">
        <v>699</v>
      </c>
      <c r="B10" s="1" t="s">
        <v>744</v>
      </c>
      <c r="C10" s="1" t="s">
        <v>74</v>
      </c>
      <c r="D10" s="1"/>
      <c r="E10" s="1" t="s">
        <v>85</v>
      </c>
      <c r="F10" s="1" t="s">
        <v>86</v>
      </c>
      <c r="G10" s="1">
        <v>4</v>
      </c>
      <c r="H10" s="1" t="s">
        <v>745</v>
      </c>
      <c r="I10" s="1" t="s">
        <v>475</v>
      </c>
      <c r="J10" s="1" t="s">
        <v>746</v>
      </c>
      <c r="K10" s="1" t="s">
        <v>747</v>
      </c>
      <c r="L10" s="1"/>
      <c r="M10" s="1"/>
      <c r="N10" s="1"/>
      <c r="O10" s="1"/>
      <c r="P10" s="6" t="b">
        <v>0</v>
      </c>
    </row>
    <row r="11" spans="1:17" x14ac:dyDescent="0.35">
      <c r="A11" s="3" t="s">
        <v>699</v>
      </c>
      <c r="B11" s="14" t="s">
        <v>744</v>
      </c>
      <c r="C11" s="1" t="s">
        <v>79</v>
      </c>
      <c r="D11" s="1"/>
      <c r="E11" s="1" t="s">
        <v>82</v>
      </c>
      <c r="F11" s="1" t="s">
        <v>76</v>
      </c>
      <c r="G11" s="1">
        <v>4</v>
      </c>
      <c r="H11" s="1" t="s">
        <v>745</v>
      </c>
      <c r="I11" s="1" t="s">
        <v>475</v>
      </c>
      <c r="J11" s="1" t="s">
        <v>746</v>
      </c>
      <c r="K11" s="1" t="s">
        <v>747</v>
      </c>
      <c r="L11" s="1"/>
      <c r="M11" s="1"/>
      <c r="N11" s="1"/>
      <c r="O11" s="1"/>
      <c r="P11" s="6" t="b">
        <v>0</v>
      </c>
    </row>
    <row r="12" spans="1:17" x14ac:dyDescent="0.35">
      <c r="B12" s="14"/>
      <c r="C12" s="1"/>
      <c r="D12" s="1"/>
      <c r="E12" s="1"/>
      <c r="F12" s="1"/>
      <c r="G12" s="1"/>
      <c r="J12" s="1"/>
      <c r="K12" s="1"/>
      <c r="L12" s="1"/>
      <c r="M12" s="1"/>
      <c r="N12" s="1"/>
      <c r="O12" s="1"/>
      <c r="P12" s="6" t="b">
        <v>0</v>
      </c>
    </row>
    <row r="13" spans="1:17" x14ac:dyDescent="0.35">
      <c r="B13" s="14"/>
      <c r="C13" s="1"/>
      <c r="D13" s="1"/>
      <c r="E13" s="1"/>
      <c r="F13" s="1"/>
      <c r="G13" s="1"/>
      <c r="J13" s="1"/>
      <c r="K13" s="1"/>
      <c r="L13" s="1"/>
      <c r="M13" s="1"/>
      <c r="N13" s="1"/>
      <c r="O13" s="1"/>
      <c r="P13" s="6" t="b">
        <v>0</v>
      </c>
    </row>
    <row r="14" spans="1:17" x14ac:dyDescent="0.35">
      <c r="C14" s="1"/>
      <c r="D14" s="1"/>
      <c r="E14" s="1"/>
      <c r="F14" s="1"/>
      <c r="G14" s="1"/>
      <c r="J14" s="1"/>
      <c r="K14" s="1"/>
      <c r="L14" s="1"/>
      <c r="M14" s="1"/>
      <c r="N14" s="1"/>
      <c r="O14" s="1"/>
      <c r="P14" s="6" t="b">
        <v>0</v>
      </c>
    </row>
    <row r="15" spans="1:17" x14ac:dyDescent="0.35">
      <c r="C15" s="1"/>
      <c r="D15" s="1"/>
      <c r="E15" s="1"/>
      <c r="F15" s="1"/>
      <c r="G15" s="1"/>
      <c r="J15" s="1"/>
      <c r="K15" s="1"/>
      <c r="L15" s="1"/>
      <c r="M15" s="1"/>
      <c r="N15" s="1"/>
      <c r="O15" s="1"/>
      <c r="P15" s="6" t="b">
        <v>0</v>
      </c>
    </row>
    <row r="16" spans="1:17" x14ac:dyDescent="0.35">
      <c r="C16" s="1"/>
      <c r="D16" s="1"/>
      <c r="E16" s="1"/>
      <c r="F16" s="1"/>
      <c r="G16" s="1"/>
      <c r="J16" s="1"/>
      <c r="K16" s="1"/>
      <c r="L16" s="1"/>
      <c r="M16" s="1"/>
      <c r="N16" s="1"/>
      <c r="O16" s="1"/>
      <c r="P16" s="6" t="b">
        <v>0</v>
      </c>
    </row>
    <row r="17" spans="3:16" x14ac:dyDescent="0.35">
      <c r="C17" s="1"/>
      <c r="D17" s="1"/>
      <c r="E17" s="1"/>
      <c r="F17" s="1"/>
      <c r="G17" s="1"/>
      <c r="J17" s="1"/>
      <c r="K17" s="1"/>
      <c r="L17" s="1"/>
      <c r="M17" s="1"/>
      <c r="N17" s="1"/>
      <c r="O17" s="1"/>
      <c r="P17" s="6" t="b">
        <v>0</v>
      </c>
    </row>
    <row r="18" spans="3:16" x14ac:dyDescent="0.35">
      <c r="C18" s="1"/>
      <c r="D18" s="1"/>
      <c r="E18" s="1"/>
      <c r="F18" s="1"/>
      <c r="G18" s="1"/>
      <c r="J18" s="1"/>
      <c r="K18" s="1"/>
      <c r="L18" s="1"/>
      <c r="M18" s="1"/>
      <c r="N18" s="1"/>
      <c r="O18" s="1"/>
      <c r="P18" s="6" t="b">
        <v>0</v>
      </c>
    </row>
    <row r="19" spans="3:16" x14ac:dyDescent="0.35">
      <c r="C19" s="1"/>
      <c r="D19" s="1"/>
      <c r="E19" s="1"/>
      <c r="F19" s="1"/>
      <c r="G19" s="1"/>
      <c r="J19" s="1"/>
      <c r="K19" s="1"/>
      <c r="L19" s="1"/>
      <c r="M19" s="1"/>
      <c r="N19" s="1"/>
      <c r="O19" s="1"/>
      <c r="P19" s="6" t="b">
        <v>0</v>
      </c>
    </row>
    <row r="20" spans="3:16" x14ac:dyDescent="0.35">
      <c r="C20" s="1"/>
      <c r="D20" s="1"/>
      <c r="E20" s="1"/>
      <c r="F20" s="1"/>
      <c r="G20" s="1"/>
      <c r="J20" s="1"/>
      <c r="K20" s="1"/>
      <c r="L20" s="1"/>
      <c r="M20" s="1"/>
      <c r="N20" s="1"/>
      <c r="O20" s="1"/>
      <c r="P20" s="6" t="b">
        <v>0</v>
      </c>
    </row>
    <row r="21" spans="3:16" x14ac:dyDescent="0.35">
      <c r="C21" s="1"/>
      <c r="D21" s="1"/>
      <c r="E21" s="1"/>
      <c r="F21" s="1"/>
      <c r="G21" s="1"/>
      <c r="J21" s="1"/>
      <c r="K21" s="1"/>
      <c r="L21" s="1"/>
      <c r="M21" s="1"/>
      <c r="N21" s="1"/>
      <c r="O21" s="1"/>
      <c r="P21" s="6" t="b">
        <v>0</v>
      </c>
    </row>
    <row r="22" spans="3:16" x14ac:dyDescent="0.35">
      <c r="C22" s="1"/>
      <c r="D22" s="1"/>
      <c r="E22" s="1"/>
      <c r="F22" s="1"/>
      <c r="G22" s="1"/>
      <c r="J22" s="1"/>
      <c r="K22" s="1"/>
      <c r="L22" s="1"/>
      <c r="M22" s="1"/>
      <c r="N22" s="1"/>
      <c r="O22" s="1"/>
      <c r="P22" s="6" t="b">
        <v>0</v>
      </c>
    </row>
    <row r="23" spans="3:16" x14ac:dyDescent="0.35">
      <c r="C23" s="1"/>
      <c r="D23" s="1"/>
      <c r="E23" s="1"/>
      <c r="F23" s="1"/>
      <c r="G23" s="1"/>
      <c r="J23" s="1"/>
      <c r="K23" s="1"/>
      <c r="L23" s="1"/>
      <c r="M23" s="1"/>
      <c r="N23" s="1"/>
      <c r="O23" s="1"/>
      <c r="P23" s="6" t="b">
        <v>0</v>
      </c>
    </row>
    <row r="24" spans="3:16" x14ac:dyDescent="0.35">
      <c r="C24" s="1"/>
      <c r="D24" s="1"/>
      <c r="E24" s="1"/>
      <c r="F24" s="1"/>
      <c r="G24" s="1"/>
      <c r="J24" s="1"/>
      <c r="N24" s="1"/>
      <c r="P24" s="6" t="b">
        <v>0</v>
      </c>
    </row>
    <row r="25" spans="3:16" x14ac:dyDescent="0.35">
      <c r="C25" s="1"/>
      <c r="D25" s="1"/>
      <c r="E25" s="1"/>
      <c r="F25" s="1"/>
      <c r="G25" s="1"/>
      <c r="J25" s="1"/>
      <c r="N25" s="1"/>
      <c r="P25" s="6" t="b">
        <v>0</v>
      </c>
    </row>
    <row r="26" spans="3:16" x14ac:dyDescent="0.35">
      <c r="C26" s="1"/>
      <c r="D26" s="1"/>
      <c r="E26" s="1"/>
      <c r="F26" s="1"/>
      <c r="G26" s="1"/>
      <c r="J26" s="1"/>
      <c r="N26" s="1"/>
      <c r="P26" s="6" t="b">
        <v>0</v>
      </c>
    </row>
    <row r="27" spans="3:16" x14ac:dyDescent="0.35">
      <c r="E27" s="1"/>
      <c r="F27" s="1"/>
      <c r="G27" s="1"/>
      <c r="J27" s="1"/>
      <c r="N27" s="1"/>
      <c r="P27" s="6" t="b">
        <v>0</v>
      </c>
    </row>
    <row r="28" spans="3:16" x14ac:dyDescent="0.35">
      <c r="E28" s="1"/>
      <c r="F28" s="1"/>
      <c r="G28" s="1"/>
      <c r="J28" s="1"/>
      <c r="N28" s="1"/>
      <c r="P28" s="6" t="b">
        <v>0</v>
      </c>
    </row>
    <row r="29" spans="3:16" x14ac:dyDescent="0.35">
      <c r="E29" s="1"/>
      <c r="F29" s="1"/>
      <c r="G29" s="1"/>
      <c r="J29" s="1"/>
      <c r="N29" s="1"/>
      <c r="P29" s="6" t="b">
        <v>0</v>
      </c>
    </row>
    <row r="30" spans="3:16" x14ac:dyDescent="0.35">
      <c r="E30" s="1"/>
      <c r="F30" s="1"/>
      <c r="G30" s="1"/>
      <c r="J30" s="1"/>
      <c r="N30" s="1"/>
      <c r="P30" s="6" t="b">
        <v>0</v>
      </c>
    </row>
    <row r="31" spans="3:16" x14ac:dyDescent="0.35">
      <c r="F31" s="1"/>
      <c r="G31" s="1"/>
      <c r="J31" s="1"/>
      <c r="N31" s="1"/>
      <c r="P31" s="6" t="b">
        <v>0</v>
      </c>
    </row>
    <row r="32" spans="3:16" x14ac:dyDescent="0.35">
      <c r="F32" s="1"/>
      <c r="G32" s="1"/>
      <c r="J32" s="1"/>
      <c r="N32" s="1"/>
      <c r="P32" s="6" t="b">
        <v>0</v>
      </c>
    </row>
    <row r="33" spans="6:16" x14ac:dyDescent="0.35">
      <c r="F33" s="1"/>
      <c r="G33" s="1"/>
      <c r="J33" s="1"/>
      <c r="N33" s="1"/>
      <c r="P33" s="6" t="b">
        <v>0</v>
      </c>
    </row>
    <row r="34" spans="6:16" x14ac:dyDescent="0.35">
      <c r="F34" s="1"/>
      <c r="G34" s="1"/>
      <c r="J34" s="1"/>
      <c r="N34" s="1"/>
      <c r="P34" s="6" t="b">
        <v>0</v>
      </c>
    </row>
    <row r="35" spans="6:16" x14ac:dyDescent="0.35">
      <c r="F35" s="1"/>
      <c r="G35" s="1"/>
      <c r="J35" s="1"/>
      <c r="N35" s="1"/>
      <c r="P35" s="6" t="b">
        <v>0</v>
      </c>
    </row>
    <row r="36" spans="6:16" x14ac:dyDescent="0.35">
      <c r="F36" s="1"/>
      <c r="G36" s="1"/>
      <c r="J36" s="1"/>
      <c r="N36" s="1"/>
      <c r="P36" s="6" t="b">
        <v>0</v>
      </c>
    </row>
    <row r="37" spans="6:16" x14ac:dyDescent="0.35">
      <c r="F37" s="1"/>
      <c r="G37" s="1"/>
      <c r="J37" s="1"/>
      <c r="N37" s="1"/>
      <c r="P37" s="6" t="b">
        <v>0</v>
      </c>
    </row>
    <row r="38" spans="6:16" x14ac:dyDescent="0.35">
      <c r="F38" s="1"/>
      <c r="G38" s="1"/>
      <c r="J38" s="1"/>
      <c r="N38" s="1"/>
      <c r="P38" s="6" t="b">
        <v>0</v>
      </c>
    </row>
    <row r="39" spans="6:16" x14ac:dyDescent="0.35">
      <c r="F39" s="1"/>
      <c r="G39" s="1"/>
      <c r="J39" s="1"/>
      <c r="N39" s="1"/>
      <c r="P39" s="6" t="b">
        <v>0</v>
      </c>
    </row>
    <row r="40" spans="6:16" x14ac:dyDescent="0.35">
      <c r="F40" s="1"/>
      <c r="G40" s="1"/>
      <c r="J40" s="1"/>
      <c r="N40" s="1"/>
      <c r="P40" s="6" t="b">
        <v>0</v>
      </c>
    </row>
    <row r="41" spans="6:16" x14ac:dyDescent="0.35">
      <c r="F41" s="1"/>
      <c r="G41" s="1"/>
      <c r="J41" s="1"/>
      <c r="N41" s="1"/>
      <c r="P41" s="6" t="b">
        <v>0</v>
      </c>
    </row>
    <row r="42" spans="6:16" x14ac:dyDescent="0.35">
      <c r="F42" s="1"/>
      <c r="G42" s="1"/>
      <c r="J42" s="1"/>
      <c r="N42" s="1"/>
      <c r="P42" s="6" t="b">
        <v>0</v>
      </c>
    </row>
    <row r="43" spans="6:16" x14ac:dyDescent="0.35">
      <c r="F43" s="1"/>
      <c r="G43" s="1"/>
      <c r="J43" s="1"/>
      <c r="N43" s="1"/>
      <c r="P43" s="6" t="b">
        <v>0</v>
      </c>
    </row>
    <row r="44" spans="6:16" x14ac:dyDescent="0.35">
      <c r="F44" s="1"/>
      <c r="G44" s="1"/>
      <c r="J44" s="1"/>
      <c r="N44" s="1"/>
      <c r="P44" s="6" t="b">
        <v>0</v>
      </c>
    </row>
    <row r="45" spans="6:16" x14ac:dyDescent="0.35">
      <c r="F45" s="1"/>
      <c r="G45" s="1"/>
      <c r="J45" s="1"/>
      <c r="N45" s="1"/>
      <c r="P45" s="6" t="b">
        <v>0</v>
      </c>
    </row>
    <row r="46" spans="6:16" x14ac:dyDescent="0.35">
      <c r="F46" s="1"/>
      <c r="G46" s="1"/>
      <c r="J46" s="1"/>
      <c r="N46" s="1"/>
      <c r="P46" s="6" t="b">
        <v>0</v>
      </c>
    </row>
    <row r="47" spans="6:16" x14ac:dyDescent="0.35">
      <c r="F47" s="1"/>
      <c r="G47" s="1"/>
      <c r="J47" s="1"/>
      <c r="N47" s="1"/>
      <c r="P47" s="6" t="b">
        <v>0</v>
      </c>
    </row>
    <row r="48" spans="6:16" x14ac:dyDescent="0.35">
      <c r="F48" s="1"/>
      <c r="G48" s="1"/>
      <c r="J48" s="1"/>
      <c r="N48" s="1"/>
      <c r="P48" s="6" t="b">
        <v>0</v>
      </c>
    </row>
    <row r="49" spans="6:16" x14ac:dyDescent="0.35">
      <c r="F49" s="1"/>
      <c r="G49" s="1"/>
      <c r="J49" s="1"/>
      <c r="N49" s="1"/>
      <c r="P49" s="6" t="b">
        <v>0</v>
      </c>
    </row>
    <row r="50" spans="6:16" x14ac:dyDescent="0.35">
      <c r="F50" s="1"/>
      <c r="G50" s="1"/>
      <c r="J50" s="1"/>
      <c r="N50" s="1"/>
      <c r="P50" s="6" t="b">
        <v>0</v>
      </c>
    </row>
    <row r="51" spans="6:16" x14ac:dyDescent="0.35">
      <c r="F51" s="1"/>
      <c r="G51" s="1"/>
      <c r="J51" s="1"/>
      <c r="N51" s="1"/>
      <c r="P51" s="6" t="b">
        <v>0</v>
      </c>
    </row>
    <row r="52" spans="6:16" x14ac:dyDescent="0.35">
      <c r="F52" s="1"/>
      <c r="G52" s="1"/>
      <c r="J52" s="1"/>
      <c r="N52" s="1"/>
      <c r="P52" s="6" t="b">
        <v>0</v>
      </c>
    </row>
    <row r="53" spans="6:16" x14ac:dyDescent="0.35">
      <c r="F53" s="1"/>
      <c r="G53" s="1"/>
      <c r="J53" s="1"/>
      <c r="N53" s="1"/>
      <c r="P53" s="6" t="b">
        <v>0</v>
      </c>
    </row>
    <row r="54" spans="6:16" x14ac:dyDescent="0.35">
      <c r="F54" s="1"/>
      <c r="G54" s="1"/>
      <c r="J54" s="1"/>
      <c r="N54" s="1"/>
      <c r="P54" s="6" t="b">
        <v>0</v>
      </c>
    </row>
    <row r="55" spans="6:16" x14ac:dyDescent="0.35">
      <c r="F55" s="1"/>
      <c r="G55" s="1"/>
      <c r="J55" s="1"/>
      <c r="N55" s="1"/>
      <c r="P55" s="6" t="b">
        <v>0</v>
      </c>
    </row>
    <row r="56" spans="6:16" x14ac:dyDescent="0.35">
      <c r="F56" s="1"/>
      <c r="G56" s="1"/>
      <c r="J56" s="1"/>
      <c r="N56" s="1"/>
      <c r="P56" s="6" t="b">
        <v>0</v>
      </c>
    </row>
    <row r="57" spans="6:16" x14ac:dyDescent="0.35">
      <c r="F57" s="1"/>
      <c r="G57" s="1"/>
      <c r="J57" s="1"/>
      <c r="N57" s="1"/>
      <c r="P57" s="6" t="b">
        <v>0</v>
      </c>
    </row>
    <row r="58" spans="6:16" x14ac:dyDescent="0.35">
      <c r="F58" s="1"/>
      <c r="G58" s="1"/>
      <c r="J58" s="1"/>
      <c r="N58" s="1"/>
      <c r="P58" s="6" t="b">
        <v>0</v>
      </c>
    </row>
    <row r="59" spans="6:16" x14ac:dyDescent="0.35">
      <c r="F59" s="1"/>
      <c r="G59" s="1"/>
      <c r="J59" s="1"/>
      <c r="N59" s="1"/>
      <c r="P59" s="6" t="b">
        <v>0</v>
      </c>
    </row>
    <row r="60" spans="6:16" x14ac:dyDescent="0.35">
      <c r="F60" s="1"/>
      <c r="G60" s="1"/>
      <c r="J60" s="1"/>
      <c r="N60" s="1"/>
      <c r="P60" s="6" t="b">
        <v>0</v>
      </c>
    </row>
    <row r="61" spans="6:16" x14ac:dyDescent="0.35">
      <c r="F61" s="1"/>
      <c r="G61" s="1"/>
      <c r="J61" s="1"/>
      <c r="N61" s="1"/>
      <c r="P61" s="6" t="b">
        <v>0</v>
      </c>
    </row>
    <row r="62" spans="6:16" x14ac:dyDescent="0.35">
      <c r="F62" s="1"/>
      <c r="G62" s="1"/>
      <c r="J62" s="1"/>
      <c r="N62" s="1"/>
      <c r="P62" s="6" t="b">
        <v>0</v>
      </c>
    </row>
    <row r="63" spans="6:16" x14ac:dyDescent="0.35">
      <c r="F63" s="1"/>
      <c r="G63" s="1"/>
      <c r="J63" s="1"/>
      <c r="N63" s="1"/>
      <c r="P63" s="6" t="b">
        <v>0</v>
      </c>
    </row>
    <row r="64" spans="6:16" x14ac:dyDescent="0.35">
      <c r="F64" s="1"/>
      <c r="G64" s="1"/>
      <c r="J64" s="1"/>
      <c r="N64" s="1"/>
      <c r="P64" s="6" t="b">
        <v>0</v>
      </c>
    </row>
    <row r="65" spans="6:16" x14ac:dyDescent="0.35">
      <c r="F65" s="1"/>
      <c r="G65" s="1"/>
      <c r="J65" s="1"/>
      <c r="N65" s="1"/>
      <c r="P65" s="6" t="b">
        <v>0</v>
      </c>
    </row>
    <row r="66" spans="6:16" x14ac:dyDescent="0.35">
      <c r="F66" s="1"/>
      <c r="G66" s="1"/>
      <c r="J66" s="1"/>
      <c r="N66" s="1"/>
      <c r="P66" s="6" t="b">
        <v>0</v>
      </c>
    </row>
    <row r="67" spans="6:16" x14ac:dyDescent="0.35">
      <c r="F67" s="1"/>
      <c r="G67" s="1"/>
      <c r="J67" s="1"/>
      <c r="N67" s="1"/>
      <c r="P67" s="6" t="b">
        <v>0</v>
      </c>
    </row>
    <row r="68" spans="6:16" x14ac:dyDescent="0.35">
      <c r="F68" s="1"/>
      <c r="G68" s="1"/>
      <c r="J68" s="1"/>
      <c r="N68" s="1"/>
      <c r="P68" s="6" t="b">
        <v>0</v>
      </c>
    </row>
    <row r="69" spans="6:16" x14ac:dyDescent="0.35">
      <c r="F69" s="1"/>
      <c r="G69" s="1"/>
      <c r="J69" s="1"/>
      <c r="N69" s="1"/>
      <c r="P69" s="6" t="b">
        <v>0</v>
      </c>
    </row>
    <row r="70" spans="6:16" x14ac:dyDescent="0.35">
      <c r="F70" s="1"/>
      <c r="G70" s="1"/>
      <c r="J70" s="1"/>
      <c r="N70" s="1"/>
      <c r="P70" s="6" t="b">
        <v>0</v>
      </c>
    </row>
    <row r="71" spans="6:16" x14ac:dyDescent="0.35">
      <c r="F71" s="1"/>
      <c r="G71" s="1"/>
      <c r="J71" s="1"/>
      <c r="N71" s="1"/>
      <c r="P71" s="6" t="b">
        <v>0</v>
      </c>
    </row>
    <row r="72" spans="6:16" x14ac:dyDescent="0.35">
      <c r="F72" s="1"/>
      <c r="G72" s="1"/>
      <c r="J72" s="1"/>
      <c r="N72" s="1"/>
      <c r="P72" s="6" t="b">
        <v>0</v>
      </c>
    </row>
    <row r="73" spans="6:16" x14ac:dyDescent="0.35">
      <c r="F73" s="1"/>
      <c r="G73" s="1"/>
      <c r="J73" s="1"/>
      <c r="N73" s="1"/>
      <c r="P73" s="6" t="b">
        <v>0</v>
      </c>
    </row>
    <row r="74" spans="6:16" x14ac:dyDescent="0.35">
      <c r="F74" s="1"/>
      <c r="G74" s="1"/>
      <c r="J74" s="1"/>
      <c r="N74" s="1"/>
      <c r="P74" s="6" t="b">
        <v>0</v>
      </c>
    </row>
    <row r="75" spans="6:16" x14ac:dyDescent="0.35">
      <c r="F75" s="1"/>
      <c r="G75" s="1"/>
      <c r="J75" s="1"/>
      <c r="N75" s="1"/>
      <c r="P75" s="6" t="b">
        <v>0</v>
      </c>
    </row>
    <row r="76" spans="6:16" x14ac:dyDescent="0.35">
      <c r="F76" s="1"/>
      <c r="G76" s="1"/>
      <c r="J76" s="1"/>
      <c r="N76" s="1"/>
      <c r="P76" s="6" t="b">
        <v>0</v>
      </c>
    </row>
    <row r="77" spans="6:16" x14ac:dyDescent="0.35">
      <c r="F77" s="1"/>
      <c r="G77" s="1"/>
      <c r="J77" s="1"/>
      <c r="N77" s="1"/>
      <c r="P77" s="6" t="b">
        <v>0</v>
      </c>
    </row>
    <row r="78" spans="6:16" x14ac:dyDescent="0.35">
      <c r="F78" s="1"/>
      <c r="G78" s="1"/>
      <c r="J78" s="1"/>
      <c r="N78" s="1"/>
      <c r="P78" s="6" t="b">
        <v>0</v>
      </c>
    </row>
    <row r="79" spans="6:16" x14ac:dyDescent="0.35">
      <c r="F79" s="1"/>
      <c r="G79" s="1"/>
      <c r="J79" s="1"/>
      <c r="N79" s="1"/>
      <c r="P79" s="6" t="b">
        <v>0</v>
      </c>
    </row>
    <row r="80" spans="6:16" x14ac:dyDescent="0.35">
      <c r="F80" s="1"/>
      <c r="G80" s="1"/>
      <c r="J80" s="1"/>
      <c r="N80" s="1"/>
      <c r="P80" s="6" t="b">
        <v>0</v>
      </c>
    </row>
    <row r="81" spans="6:16" x14ac:dyDescent="0.35">
      <c r="F81" s="1"/>
      <c r="G81" s="1"/>
      <c r="J81" s="1"/>
      <c r="N81" s="1"/>
      <c r="P81" s="6" t="b">
        <v>0</v>
      </c>
    </row>
    <row r="82" spans="6:16" x14ac:dyDescent="0.35">
      <c r="F82" s="1"/>
      <c r="G82" s="1"/>
      <c r="J82" s="1"/>
      <c r="N82" s="1"/>
      <c r="P82" s="6" t="b">
        <v>0</v>
      </c>
    </row>
    <row r="83" spans="6:16" x14ac:dyDescent="0.35">
      <c r="F83" s="1"/>
      <c r="G83" s="1"/>
      <c r="J83" s="1"/>
      <c r="N83" s="1"/>
      <c r="P83" s="6" t="b">
        <v>0</v>
      </c>
    </row>
    <row r="84" spans="6:16" x14ac:dyDescent="0.35">
      <c r="F84" s="1"/>
      <c r="G84" s="1"/>
      <c r="J84" s="1"/>
      <c r="N84" s="1"/>
      <c r="P84" s="6" t="b">
        <v>0</v>
      </c>
    </row>
    <row r="85" spans="6:16" x14ac:dyDescent="0.35">
      <c r="F85" s="1"/>
      <c r="G85" s="1"/>
      <c r="J85" s="1"/>
      <c r="N85" s="1"/>
      <c r="P85" s="6" t="b">
        <v>0</v>
      </c>
    </row>
    <row r="86" spans="6:16" x14ac:dyDescent="0.35">
      <c r="F86" s="1"/>
      <c r="G86" s="1"/>
      <c r="J86" s="1"/>
      <c r="N86" s="1"/>
      <c r="P86" s="6" t="b">
        <v>0</v>
      </c>
    </row>
    <row r="87" spans="6:16" x14ac:dyDescent="0.35">
      <c r="F87" s="1"/>
      <c r="G87" s="1"/>
      <c r="J87" s="1"/>
      <c r="N87" s="1"/>
      <c r="P87" s="6" t="b">
        <v>0</v>
      </c>
    </row>
    <row r="88" spans="6:16" x14ac:dyDescent="0.35">
      <c r="F88" s="1"/>
      <c r="G88" s="1"/>
      <c r="J88" s="1"/>
      <c r="N88" s="1"/>
      <c r="P88" s="6" t="b">
        <v>0</v>
      </c>
    </row>
    <row r="89" spans="6:16" x14ac:dyDescent="0.35">
      <c r="F89" s="1"/>
      <c r="G89" s="1"/>
      <c r="J89" s="1"/>
      <c r="N89" s="1"/>
      <c r="P89" s="6" t="b">
        <v>0</v>
      </c>
    </row>
    <row r="90" spans="6:16" x14ac:dyDescent="0.35">
      <c r="F90" s="1"/>
      <c r="G90" s="1"/>
      <c r="J90" s="1"/>
      <c r="N90" s="1"/>
      <c r="P90" s="6" t="b">
        <v>0</v>
      </c>
    </row>
    <row r="91" spans="6:16" x14ac:dyDescent="0.35">
      <c r="F91" s="1"/>
      <c r="G91" s="1"/>
      <c r="J91" s="1"/>
      <c r="N91" s="1"/>
      <c r="P91" s="6" t="b">
        <v>0</v>
      </c>
    </row>
    <row r="92" spans="6:16" x14ac:dyDescent="0.35">
      <c r="F92" s="1"/>
      <c r="G92" s="1"/>
      <c r="J92" s="1"/>
      <c r="N92" s="1"/>
      <c r="P92" s="6" t="b">
        <v>0</v>
      </c>
    </row>
    <row r="93" spans="6:16" x14ac:dyDescent="0.35">
      <c r="G93" s="1"/>
      <c r="J93" s="1"/>
      <c r="N93" s="1"/>
      <c r="P93" s="6" t="b">
        <v>0</v>
      </c>
    </row>
    <row r="94" spans="6:16" x14ac:dyDescent="0.35">
      <c r="G94" s="1"/>
      <c r="J94" s="1"/>
      <c r="N94" s="1"/>
      <c r="P94" s="6" t="b">
        <v>0</v>
      </c>
    </row>
    <row r="95" spans="6:16" x14ac:dyDescent="0.35">
      <c r="G95" s="1"/>
      <c r="J95" s="1"/>
      <c r="N95" s="1"/>
      <c r="P95" s="6" t="b">
        <v>0</v>
      </c>
    </row>
    <row r="96" spans="6:16" x14ac:dyDescent="0.35">
      <c r="G96" s="1"/>
      <c r="J96" s="1"/>
      <c r="N96" s="1"/>
      <c r="P96" s="6" t="b">
        <v>0</v>
      </c>
    </row>
    <row r="97" spans="7:16" x14ac:dyDescent="0.35">
      <c r="G97" s="1"/>
      <c r="J97" s="1"/>
      <c r="N97" s="1"/>
      <c r="P97" s="6" t="b">
        <v>0</v>
      </c>
    </row>
  </sheetData>
  <dataValidations count="2">
    <dataValidation type="list" allowBlank="1" showInputMessage="1" showErrorMessage="1" sqref="J98:J1048576" xr:uid="{A112F678-B6BA-485F-875E-5B99C2AC0A5C}">
      <formula1>$B$3:$B$331</formula1>
    </dataValidation>
    <dataValidation type="list" allowBlank="1" showInputMessage="1" showErrorMessage="1" sqref="N98:N1048576 O24:O1048576" xr:uid="{E685EC33-4614-437D-B2A2-8F1725570BE1}">
      <formula1>#REF!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C80F-6CBD-48B5-9D92-A5FBBEBD1764}">
  <dimension ref="A1:Q49"/>
  <sheetViews>
    <sheetView zoomScale="70" zoomScaleNormal="70" workbookViewId="0">
      <selection activeCell="H14" sqref="H14:H15"/>
    </sheetView>
  </sheetViews>
  <sheetFormatPr defaultColWidth="8.81640625" defaultRowHeight="14.5" x14ac:dyDescent="0.35"/>
  <cols>
    <col min="1" max="1" width="10.81640625" style="4" customWidth="1"/>
    <col min="2" max="2" width="24.54296875" style="4" customWidth="1"/>
    <col min="3" max="6" width="12.54296875" style="4" customWidth="1"/>
    <col min="7" max="7" width="20.81640625" style="4" bestFit="1" customWidth="1"/>
    <col min="8" max="8" width="23.81640625" style="4" bestFit="1" customWidth="1"/>
    <col min="9" max="9" width="49.6328125" style="4" bestFit="1" customWidth="1"/>
    <col min="10" max="10" width="18.1796875" style="4" customWidth="1"/>
    <col min="11" max="11" width="28.81640625" style="4" bestFit="1" customWidth="1"/>
    <col min="12" max="12" width="29.54296875" style="4" customWidth="1"/>
    <col min="13" max="13" width="17.453125" style="4" bestFit="1" customWidth="1"/>
    <col min="14" max="14" width="28.453125" style="4" bestFit="1" customWidth="1"/>
    <col min="15" max="15" width="12.81640625" style="4" customWidth="1"/>
    <col min="16" max="17" width="20.81640625" style="47" customWidth="1"/>
    <col min="18" max="16384" width="8.81640625" style="47"/>
  </cols>
  <sheetData>
    <row r="1" spans="1:17" ht="60" customHeight="1" x14ac:dyDescent="0.35">
      <c r="A1" s="24" t="s">
        <v>456</v>
      </c>
      <c r="B1" s="4" t="s">
        <v>748</v>
      </c>
      <c r="G1" s="44" t="s">
        <v>37</v>
      </c>
      <c r="P1" s="45" t="s">
        <v>38</v>
      </c>
      <c r="Q1" s="46" t="s">
        <v>39</v>
      </c>
    </row>
    <row r="2" spans="1:17" x14ac:dyDescent="0.35">
      <c r="A2" s="48" t="s">
        <v>40</v>
      </c>
      <c r="B2" s="48" t="s">
        <v>41</v>
      </c>
      <c r="C2" s="48" t="s">
        <v>42</v>
      </c>
      <c r="D2" s="48" t="s">
        <v>43</v>
      </c>
      <c r="E2" s="48" t="s">
        <v>44</v>
      </c>
      <c r="F2" s="48" t="s">
        <v>45</v>
      </c>
      <c r="G2" s="48" t="s">
        <v>46</v>
      </c>
      <c r="H2" s="48" t="s">
        <v>47</v>
      </c>
      <c r="I2" s="48" t="s">
        <v>48</v>
      </c>
      <c r="J2" s="48" t="s">
        <v>49</v>
      </c>
      <c r="K2" s="48" t="s">
        <v>50</v>
      </c>
      <c r="L2" s="48" t="s">
        <v>51</v>
      </c>
      <c r="M2" s="48" t="s">
        <v>52</v>
      </c>
      <c r="N2" s="48" t="s">
        <v>53</v>
      </c>
      <c r="O2" s="48" t="s">
        <v>54</v>
      </c>
      <c r="P2" s="49" t="s">
        <v>55</v>
      </c>
    </row>
    <row r="3" spans="1:17" s="61" customFormat="1" x14ac:dyDescent="0.35">
      <c r="A3" s="52" t="s">
        <v>668</v>
      </c>
      <c r="B3" s="104" t="s">
        <v>294</v>
      </c>
      <c r="C3" s="52" t="s">
        <v>74</v>
      </c>
      <c r="D3" s="52">
        <v>27</v>
      </c>
      <c r="E3" s="52" t="s">
        <v>85</v>
      </c>
      <c r="F3" s="52" t="s">
        <v>86</v>
      </c>
      <c r="G3" s="52">
        <v>3</v>
      </c>
      <c r="H3" s="52" t="s">
        <v>531</v>
      </c>
      <c r="I3" s="111" t="s">
        <v>545</v>
      </c>
      <c r="J3" s="52" t="s">
        <v>525</v>
      </c>
      <c r="K3" s="52" t="s">
        <v>554</v>
      </c>
      <c r="L3" s="52" t="s">
        <v>672</v>
      </c>
      <c r="M3" s="52"/>
      <c r="N3" s="52"/>
      <c r="O3" s="52"/>
      <c r="P3" s="60" t="b">
        <v>0</v>
      </c>
    </row>
    <row r="4" spans="1:17" s="61" customFormat="1" x14ac:dyDescent="0.35">
      <c r="A4" s="52" t="s">
        <v>668</v>
      </c>
      <c r="B4" s="104" t="s">
        <v>294</v>
      </c>
      <c r="C4" s="52" t="s">
        <v>79</v>
      </c>
      <c r="D4" s="52">
        <v>27</v>
      </c>
      <c r="E4" s="52" t="s">
        <v>85</v>
      </c>
      <c r="F4" s="52" t="s">
        <v>76</v>
      </c>
      <c r="G4" s="52">
        <v>3</v>
      </c>
      <c r="H4" s="52" t="s">
        <v>531</v>
      </c>
      <c r="I4" s="111" t="s">
        <v>545</v>
      </c>
      <c r="J4" s="52" t="s">
        <v>525</v>
      </c>
      <c r="K4" s="52" t="s">
        <v>554</v>
      </c>
      <c r="L4" s="52" t="s">
        <v>672</v>
      </c>
      <c r="M4" s="52"/>
      <c r="N4" s="52"/>
      <c r="O4" s="52"/>
      <c r="P4" s="60" t="b">
        <v>0</v>
      </c>
    </row>
    <row r="5" spans="1:17" s="61" customFormat="1" x14ac:dyDescent="0.35">
      <c r="A5" s="52" t="s">
        <v>665</v>
      </c>
      <c r="B5" s="104" t="s">
        <v>666</v>
      </c>
      <c r="C5" s="52" t="s">
        <v>467</v>
      </c>
      <c r="D5" s="52">
        <v>60</v>
      </c>
      <c r="E5" s="52" t="s">
        <v>85</v>
      </c>
      <c r="F5" s="52" t="s">
        <v>76</v>
      </c>
      <c r="G5" s="52">
        <v>3</v>
      </c>
      <c r="H5" s="52" t="s">
        <v>673</v>
      </c>
      <c r="I5" s="52" t="s">
        <v>674</v>
      </c>
      <c r="J5" s="52" t="s">
        <v>541</v>
      </c>
      <c r="K5" s="52" t="s">
        <v>652</v>
      </c>
      <c r="L5" s="52"/>
      <c r="M5" s="52"/>
      <c r="N5" s="52"/>
      <c r="O5" s="52"/>
      <c r="P5" s="60" t="b">
        <v>0</v>
      </c>
    </row>
    <row r="6" spans="1:17" s="61" customFormat="1" x14ac:dyDescent="0.35">
      <c r="A6" s="52" t="s">
        <v>665</v>
      </c>
      <c r="B6" s="104" t="s">
        <v>666</v>
      </c>
      <c r="C6" s="52" t="s">
        <v>467</v>
      </c>
      <c r="D6" s="52">
        <v>60</v>
      </c>
      <c r="E6" s="52" t="s">
        <v>75</v>
      </c>
      <c r="F6" s="52" t="s">
        <v>113</v>
      </c>
      <c r="G6" s="52">
        <v>3</v>
      </c>
      <c r="H6" s="52">
        <v>8</v>
      </c>
      <c r="I6" s="52" t="s">
        <v>674</v>
      </c>
      <c r="J6" s="52" t="s">
        <v>541</v>
      </c>
      <c r="K6" s="52" t="s">
        <v>652</v>
      </c>
      <c r="L6" s="52"/>
      <c r="M6" s="52"/>
      <c r="N6" s="52"/>
      <c r="O6" s="52"/>
      <c r="P6" s="60" t="b">
        <v>0</v>
      </c>
    </row>
    <row r="7" spans="1:17" s="61" customFormat="1" x14ac:dyDescent="0.35">
      <c r="A7" s="52" t="s">
        <v>665</v>
      </c>
      <c r="B7" s="104" t="s">
        <v>666</v>
      </c>
      <c r="C7" s="52" t="s">
        <v>467</v>
      </c>
      <c r="D7" s="52">
        <v>60</v>
      </c>
      <c r="E7" s="52" t="s">
        <v>91</v>
      </c>
      <c r="F7" s="52" t="s">
        <v>86</v>
      </c>
      <c r="G7" s="52">
        <v>3</v>
      </c>
      <c r="H7" s="52" t="s">
        <v>667</v>
      </c>
      <c r="I7" s="52" t="s">
        <v>650</v>
      </c>
      <c r="J7" s="52" t="s">
        <v>541</v>
      </c>
      <c r="K7" s="52" t="s">
        <v>652</v>
      </c>
      <c r="L7" s="52"/>
      <c r="M7" s="52"/>
      <c r="N7" s="52"/>
      <c r="O7" s="52"/>
      <c r="P7" s="60" t="b">
        <v>0</v>
      </c>
    </row>
    <row r="8" spans="1:17" s="61" customFormat="1" x14ac:dyDescent="0.35">
      <c r="A8" s="52" t="s">
        <v>665</v>
      </c>
      <c r="B8" s="104" t="s">
        <v>666</v>
      </c>
      <c r="C8" s="52" t="s">
        <v>467</v>
      </c>
      <c r="D8" s="52">
        <v>60</v>
      </c>
      <c r="E8" s="115" t="s">
        <v>82</v>
      </c>
      <c r="F8" s="115" t="s">
        <v>76</v>
      </c>
      <c r="G8" s="52">
        <v>3</v>
      </c>
      <c r="H8" s="52" t="s">
        <v>756</v>
      </c>
      <c r="I8" s="52" t="s">
        <v>650</v>
      </c>
      <c r="J8" s="85" t="s">
        <v>541</v>
      </c>
      <c r="K8" s="52" t="s">
        <v>652</v>
      </c>
      <c r="L8" s="52"/>
      <c r="M8" s="52"/>
      <c r="N8" s="52"/>
      <c r="O8" s="52"/>
      <c r="P8" s="60" t="b">
        <v>0</v>
      </c>
    </row>
    <row r="9" spans="1:17" s="61" customFormat="1" x14ac:dyDescent="0.35">
      <c r="A9" s="52" t="s">
        <v>665</v>
      </c>
      <c r="B9" s="104" t="s">
        <v>666</v>
      </c>
      <c r="C9" s="52" t="s">
        <v>467</v>
      </c>
      <c r="D9" s="52">
        <v>60</v>
      </c>
      <c r="E9" s="116" t="s">
        <v>82</v>
      </c>
      <c r="F9" s="116" t="s">
        <v>76</v>
      </c>
      <c r="G9" s="117">
        <v>3</v>
      </c>
      <c r="H9" s="117" t="s">
        <v>757</v>
      </c>
      <c r="I9" s="117" t="s">
        <v>561</v>
      </c>
      <c r="J9" s="85" t="s">
        <v>541</v>
      </c>
      <c r="K9" s="52" t="s">
        <v>652</v>
      </c>
      <c r="L9" s="52"/>
      <c r="M9" s="52"/>
      <c r="N9" s="52"/>
      <c r="O9" s="52"/>
      <c r="P9" s="60" t="b">
        <v>0</v>
      </c>
    </row>
    <row r="10" spans="1:17" s="61" customFormat="1" x14ac:dyDescent="0.35">
      <c r="A10" s="52" t="s">
        <v>668</v>
      </c>
      <c r="B10" s="104" t="s">
        <v>669</v>
      </c>
      <c r="C10" s="52" t="s">
        <v>467</v>
      </c>
      <c r="D10" s="52">
        <v>54</v>
      </c>
      <c r="E10" s="52" t="s">
        <v>91</v>
      </c>
      <c r="F10" s="52" t="s">
        <v>86</v>
      </c>
      <c r="G10" s="52">
        <v>3</v>
      </c>
      <c r="H10" s="52" t="s">
        <v>667</v>
      </c>
      <c r="I10" s="117" t="s">
        <v>706</v>
      </c>
      <c r="J10" s="52" t="s">
        <v>670</v>
      </c>
      <c r="K10" s="52" t="s">
        <v>671</v>
      </c>
      <c r="L10" s="52" t="s">
        <v>730</v>
      </c>
      <c r="M10" s="52"/>
      <c r="N10" s="52"/>
      <c r="O10" s="52"/>
      <c r="P10" s="60" t="b">
        <v>0</v>
      </c>
    </row>
    <row r="11" spans="1:17" s="61" customFormat="1" x14ac:dyDescent="0.35">
      <c r="A11" s="52" t="s">
        <v>668</v>
      </c>
      <c r="B11" s="104" t="s">
        <v>669</v>
      </c>
      <c r="C11" s="52" t="s">
        <v>467</v>
      </c>
      <c r="D11" s="52">
        <v>54</v>
      </c>
      <c r="E11" s="52" t="s">
        <v>75</v>
      </c>
      <c r="F11" s="52" t="s">
        <v>98</v>
      </c>
      <c r="G11" s="52">
        <v>3</v>
      </c>
      <c r="H11" s="52" t="s">
        <v>667</v>
      </c>
      <c r="I11" s="52" t="s">
        <v>650</v>
      </c>
      <c r="J11" s="52" t="s">
        <v>670</v>
      </c>
      <c r="K11" s="52" t="s">
        <v>671</v>
      </c>
      <c r="L11" s="52" t="s">
        <v>730</v>
      </c>
      <c r="M11" s="52"/>
      <c r="N11" s="52"/>
      <c r="O11" s="52"/>
      <c r="P11" s="60" t="b">
        <v>0</v>
      </c>
    </row>
    <row r="12" spans="1:17" s="61" customFormat="1" x14ac:dyDescent="0.35">
      <c r="A12" s="52" t="s">
        <v>668</v>
      </c>
      <c r="B12" s="52" t="s">
        <v>385</v>
      </c>
      <c r="C12" s="52" t="s">
        <v>467</v>
      </c>
      <c r="D12" s="52">
        <v>54</v>
      </c>
      <c r="E12" s="52"/>
      <c r="F12" s="52"/>
      <c r="G12" s="52">
        <v>3</v>
      </c>
      <c r="H12" s="52" t="s">
        <v>64</v>
      </c>
      <c r="I12" s="52" t="s">
        <v>511</v>
      </c>
      <c r="J12" s="52" t="s">
        <v>675</v>
      </c>
      <c r="K12" s="52" t="s">
        <v>676</v>
      </c>
      <c r="L12" s="52"/>
      <c r="M12" s="52"/>
      <c r="N12" s="52"/>
      <c r="O12" s="52"/>
      <c r="P12" s="60" t="b">
        <v>0</v>
      </c>
    </row>
    <row r="13" spans="1:17" x14ac:dyDescent="0.3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P13" s="51" t="b">
        <v>0</v>
      </c>
    </row>
    <row r="14" spans="1:17" x14ac:dyDescent="0.35">
      <c r="A14" s="1"/>
      <c r="B14" s="14"/>
      <c r="C14" s="14"/>
      <c r="D14" s="1"/>
      <c r="E14" s="1"/>
      <c r="F14" s="1"/>
      <c r="G14" s="1"/>
      <c r="H14" s="1"/>
      <c r="I14" s="1"/>
      <c r="J14" s="1"/>
      <c r="K14" s="1"/>
      <c r="L14" s="1"/>
      <c r="P14" s="51" t="b">
        <v>0</v>
      </c>
    </row>
    <row r="15" spans="1:17" x14ac:dyDescent="0.35">
      <c r="P15" s="51" t="b">
        <v>0</v>
      </c>
    </row>
    <row r="16" spans="1:17" x14ac:dyDescent="0.35">
      <c r="P16" s="51" t="b">
        <v>0</v>
      </c>
    </row>
    <row r="17" spans="16:16" x14ac:dyDescent="0.35">
      <c r="P17" s="51" t="b">
        <v>0</v>
      </c>
    </row>
    <row r="18" spans="16:16" x14ac:dyDescent="0.35">
      <c r="P18" s="51" t="b">
        <v>0</v>
      </c>
    </row>
    <row r="19" spans="16:16" x14ac:dyDescent="0.35">
      <c r="P19" s="51" t="b">
        <v>0</v>
      </c>
    </row>
    <row r="20" spans="16:16" x14ac:dyDescent="0.35">
      <c r="P20" s="51" t="b">
        <v>0</v>
      </c>
    </row>
    <row r="21" spans="16:16" x14ac:dyDescent="0.35">
      <c r="P21" s="51" t="b">
        <v>0</v>
      </c>
    </row>
    <row r="22" spans="16:16" x14ac:dyDescent="0.35">
      <c r="P22" s="51" t="b">
        <v>0</v>
      </c>
    </row>
    <row r="23" spans="16:16" x14ac:dyDescent="0.35">
      <c r="P23" s="51" t="b">
        <v>0</v>
      </c>
    </row>
    <row r="24" spans="16:16" x14ac:dyDescent="0.35">
      <c r="P24" s="51" t="b">
        <v>0</v>
      </c>
    </row>
    <row r="25" spans="16:16" x14ac:dyDescent="0.35">
      <c r="P25" s="51" t="b">
        <v>0</v>
      </c>
    </row>
    <row r="26" spans="16:16" x14ac:dyDescent="0.35">
      <c r="P26" s="51" t="b">
        <v>0</v>
      </c>
    </row>
    <row r="27" spans="16:16" x14ac:dyDescent="0.35">
      <c r="P27" s="51" t="b">
        <v>0</v>
      </c>
    </row>
    <row r="28" spans="16:16" x14ac:dyDescent="0.35">
      <c r="P28" s="51" t="b">
        <v>0</v>
      </c>
    </row>
    <row r="29" spans="16:16" x14ac:dyDescent="0.35">
      <c r="P29" s="51" t="b">
        <v>0</v>
      </c>
    </row>
    <row r="30" spans="16:16" x14ac:dyDescent="0.35">
      <c r="P30" s="51" t="b">
        <v>0</v>
      </c>
    </row>
    <row r="31" spans="16:16" x14ac:dyDescent="0.35">
      <c r="P31" s="51" t="b">
        <v>0</v>
      </c>
    </row>
    <row r="32" spans="16:16" x14ac:dyDescent="0.35">
      <c r="P32" s="51" t="b">
        <v>0</v>
      </c>
    </row>
    <row r="33" spans="16:16" x14ac:dyDescent="0.35">
      <c r="P33" s="51" t="b">
        <v>0</v>
      </c>
    </row>
    <row r="34" spans="16:16" x14ac:dyDescent="0.35">
      <c r="P34" s="51" t="b">
        <v>0</v>
      </c>
    </row>
    <row r="35" spans="16:16" x14ac:dyDescent="0.35">
      <c r="P35" s="51" t="b">
        <v>0</v>
      </c>
    </row>
    <row r="36" spans="16:16" x14ac:dyDescent="0.35">
      <c r="P36" s="51" t="b">
        <v>0</v>
      </c>
    </row>
    <row r="37" spans="16:16" x14ac:dyDescent="0.35">
      <c r="P37" s="51" t="b">
        <v>0</v>
      </c>
    </row>
    <row r="38" spans="16:16" x14ac:dyDescent="0.35">
      <c r="P38" s="51" t="b">
        <v>0</v>
      </c>
    </row>
    <row r="39" spans="16:16" x14ac:dyDescent="0.35">
      <c r="P39" s="51" t="b">
        <v>0</v>
      </c>
    </row>
    <row r="40" spans="16:16" x14ac:dyDescent="0.35">
      <c r="P40" s="51" t="b">
        <v>0</v>
      </c>
    </row>
    <row r="41" spans="16:16" x14ac:dyDescent="0.35">
      <c r="P41" s="51" t="b">
        <v>0</v>
      </c>
    </row>
    <row r="42" spans="16:16" x14ac:dyDescent="0.35">
      <c r="P42" s="51" t="b">
        <v>0</v>
      </c>
    </row>
    <row r="43" spans="16:16" x14ac:dyDescent="0.35">
      <c r="P43" s="51" t="b">
        <v>0</v>
      </c>
    </row>
    <row r="44" spans="16:16" x14ac:dyDescent="0.35">
      <c r="P44" s="51" t="b">
        <v>0</v>
      </c>
    </row>
    <row r="45" spans="16:16" x14ac:dyDescent="0.35">
      <c r="P45" s="51" t="b">
        <v>0</v>
      </c>
    </row>
    <row r="46" spans="16:16" x14ac:dyDescent="0.35">
      <c r="P46" s="51" t="b">
        <v>0</v>
      </c>
    </row>
    <row r="47" spans="16:16" x14ac:dyDescent="0.35">
      <c r="P47" s="51" t="b">
        <v>0</v>
      </c>
    </row>
    <row r="48" spans="16:16" x14ac:dyDescent="0.35">
      <c r="P48" s="51" t="b">
        <v>0</v>
      </c>
    </row>
    <row r="49" spans="16:16" x14ac:dyDescent="0.35">
      <c r="P49" s="51" t="b">
        <v>0</v>
      </c>
    </row>
  </sheetData>
  <dataValidations count="2">
    <dataValidation type="list" allowBlank="1" showInputMessage="1" showErrorMessage="1" sqref="N50:N1048576 O3:O1048576" xr:uid="{672889AB-3078-4156-A050-E206D1DDDE40}">
      <formula1>#REF!</formula1>
    </dataValidation>
    <dataValidation type="list" allowBlank="1" showInputMessage="1" showErrorMessage="1" sqref="J50:J1048576" xr:uid="{80A202FA-8E59-46E6-8ADF-F004ECDA95D2}">
      <formula1>$B$3:$B$283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0A91-E61A-48F7-A1F8-FF938C080F50}">
  <dimension ref="A1:Q35"/>
  <sheetViews>
    <sheetView tabSelected="1" topLeftCell="H1" zoomScale="70" zoomScaleNormal="70" workbookViewId="0">
      <selection activeCell="A3" sqref="A3:XFD3"/>
    </sheetView>
  </sheetViews>
  <sheetFormatPr defaultColWidth="8.81640625" defaultRowHeight="14.5" x14ac:dyDescent="0.35"/>
  <cols>
    <col min="1" max="1" width="10.81640625" style="14" customWidth="1"/>
    <col min="2" max="2" width="17.1796875" style="14" bestFit="1" customWidth="1"/>
    <col min="3" max="6" width="12.54296875" style="14" customWidth="1"/>
    <col min="7" max="7" width="20.81640625" style="14" bestFit="1" customWidth="1"/>
    <col min="8" max="8" width="28" style="14" customWidth="1"/>
    <col min="9" max="9" width="73.6328125" style="14" bestFit="1" customWidth="1"/>
    <col min="10" max="10" width="25.54296875" style="14" customWidth="1"/>
    <col min="11" max="11" width="20" style="14" customWidth="1"/>
    <col min="12" max="12" width="25.1796875" style="14" bestFit="1" customWidth="1"/>
    <col min="13" max="13" width="17.453125" style="14" customWidth="1"/>
    <col min="14" max="14" width="28.453125" style="14" bestFit="1" customWidth="1"/>
    <col min="15" max="15" width="12.81640625" style="14" customWidth="1"/>
    <col min="16" max="17" width="20.81640625" style="15" customWidth="1"/>
    <col min="18" max="16384" width="8.81640625" style="15"/>
  </cols>
  <sheetData>
    <row r="1" spans="1:17" ht="58" x14ac:dyDescent="0.35">
      <c r="B1" s="4" t="s">
        <v>749</v>
      </c>
      <c r="G1" s="55" t="s">
        <v>37</v>
      </c>
      <c r="P1" s="56" t="s">
        <v>38</v>
      </c>
      <c r="Q1" s="57" t="s">
        <v>39</v>
      </c>
    </row>
    <row r="2" spans="1:17" x14ac:dyDescent="0.35">
      <c r="A2" s="10" t="s">
        <v>40</v>
      </c>
      <c r="B2" s="10" t="s">
        <v>41</v>
      </c>
      <c r="C2" s="10" t="s">
        <v>42</v>
      </c>
      <c r="D2" s="10" t="s">
        <v>43</v>
      </c>
      <c r="E2" s="10" t="s">
        <v>44</v>
      </c>
      <c r="F2" s="10" t="s">
        <v>45</v>
      </c>
      <c r="G2" s="10" t="s">
        <v>46</v>
      </c>
      <c r="H2" s="10" t="s">
        <v>47</v>
      </c>
      <c r="I2" s="10" t="s">
        <v>48</v>
      </c>
      <c r="J2" s="10" t="s">
        <v>49</v>
      </c>
      <c r="K2" s="10" t="s">
        <v>50</v>
      </c>
      <c r="L2" s="10" t="s">
        <v>51</v>
      </c>
      <c r="M2" s="10" t="s">
        <v>52</v>
      </c>
      <c r="N2" s="10" t="s">
        <v>53</v>
      </c>
      <c r="O2" s="10" t="s">
        <v>54</v>
      </c>
      <c r="P2" s="5" t="s">
        <v>55</v>
      </c>
    </row>
    <row r="3" spans="1:17" s="89" customFormat="1" x14ac:dyDescent="0.35">
      <c r="A3" s="43" t="s">
        <v>649</v>
      </c>
      <c r="B3" s="105" t="s">
        <v>272</v>
      </c>
      <c r="C3" s="58" t="s">
        <v>74</v>
      </c>
      <c r="D3" s="58">
        <v>61</v>
      </c>
      <c r="E3" s="58" t="s">
        <v>88</v>
      </c>
      <c r="F3" s="43" t="s">
        <v>86</v>
      </c>
      <c r="G3" s="43">
        <v>3</v>
      </c>
      <c r="H3" s="58" t="s">
        <v>557</v>
      </c>
      <c r="I3" s="58" t="s">
        <v>650</v>
      </c>
      <c r="J3" s="43" t="s">
        <v>651</v>
      </c>
      <c r="K3" s="58" t="s">
        <v>652</v>
      </c>
      <c r="L3" s="85" t="s">
        <v>661</v>
      </c>
      <c r="M3" s="58" t="s">
        <v>653</v>
      </c>
      <c r="N3" s="43"/>
      <c r="O3" s="58"/>
      <c r="P3" s="88" t="b">
        <v>0</v>
      </c>
    </row>
    <row r="4" spans="1:17" s="89" customFormat="1" x14ac:dyDescent="0.35">
      <c r="A4" s="43" t="s">
        <v>649</v>
      </c>
      <c r="B4" s="102" t="s">
        <v>272</v>
      </c>
      <c r="C4" s="58" t="s">
        <v>74</v>
      </c>
      <c r="D4" s="58">
        <v>61</v>
      </c>
      <c r="E4" s="103" t="s">
        <v>82</v>
      </c>
      <c r="F4" s="23" t="s">
        <v>86</v>
      </c>
      <c r="G4" s="43">
        <v>3</v>
      </c>
      <c r="H4" s="58" t="s">
        <v>733</v>
      </c>
      <c r="I4" s="103" t="s">
        <v>650</v>
      </c>
      <c r="J4" s="43" t="s">
        <v>654</v>
      </c>
      <c r="K4" s="58" t="s">
        <v>655</v>
      </c>
      <c r="L4" s="58"/>
      <c r="M4" s="58"/>
      <c r="N4" s="43"/>
      <c r="O4" s="58"/>
      <c r="P4" s="88" t="b">
        <v>0</v>
      </c>
    </row>
    <row r="5" spans="1:17" s="89" customFormat="1" x14ac:dyDescent="0.35">
      <c r="A5" s="43" t="s">
        <v>649</v>
      </c>
      <c r="B5" s="102" t="s">
        <v>272</v>
      </c>
      <c r="C5" s="58" t="s">
        <v>74</v>
      </c>
      <c r="D5" s="58">
        <v>61</v>
      </c>
      <c r="E5" s="103" t="s">
        <v>85</v>
      </c>
      <c r="F5" s="23" t="s">
        <v>86</v>
      </c>
      <c r="G5" s="43">
        <v>3</v>
      </c>
      <c r="H5" s="58">
        <v>2</v>
      </c>
      <c r="I5" s="103" t="s">
        <v>650</v>
      </c>
      <c r="J5" s="43" t="s">
        <v>654</v>
      </c>
      <c r="K5" s="58" t="s">
        <v>655</v>
      </c>
      <c r="L5" s="58"/>
      <c r="M5" s="58"/>
      <c r="N5" s="43"/>
      <c r="O5" s="58"/>
      <c r="P5" s="88" t="b">
        <v>0</v>
      </c>
    </row>
    <row r="6" spans="1:17" x14ac:dyDescent="0.35">
      <c r="A6" s="43" t="s">
        <v>649</v>
      </c>
      <c r="B6" s="102" t="s">
        <v>272</v>
      </c>
      <c r="C6" s="14" t="s">
        <v>74</v>
      </c>
      <c r="D6" s="14">
        <v>61</v>
      </c>
      <c r="E6" s="103" t="s">
        <v>82</v>
      </c>
      <c r="F6" s="23" t="s">
        <v>86</v>
      </c>
      <c r="G6" s="14">
        <v>3</v>
      </c>
      <c r="H6" s="14" t="s">
        <v>758</v>
      </c>
      <c r="I6" s="103" t="s">
        <v>561</v>
      </c>
      <c r="J6" s="14" t="s">
        <v>654</v>
      </c>
      <c r="K6" s="14" t="s">
        <v>655</v>
      </c>
    </row>
    <row r="7" spans="1:17" x14ac:dyDescent="0.35">
      <c r="A7" s="43" t="s">
        <v>649</v>
      </c>
      <c r="B7" s="102" t="s">
        <v>272</v>
      </c>
      <c r="C7" s="58" t="s">
        <v>74</v>
      </c>
      <c r="D7" s="58">
        <v>61</v>
      </c>
      <c r="E7" s="103" t="s">
        <v>75</v>
      </c>
      <c r="F7" s="23" t="s">
        <v>110</v>
      </c>
      <c r="G7" s="43">
        <v>3</v>
      </c>
      <c r="H7" s="58">
        <v>6</v>
      </c>
      <c r="I7" s="103" t="s">
        <v>650</v>
      </c>
      <c r="J7" s="43" t="s">
        <v>654</v>
      </c>
      <c r="K7" s="58" t="s">
        <v>655</v>
      </c>
    </row>
    <row r="8" spans="1:17" x14ac:dyDescent="0.35">
      <c r="A8" s="43" t="s">
        <v>649</v>
      </c>
      <c r="B8" s="102" t="s">
        <v>272</v>
      </c>
      <c r="C8" s="14" t="s">
        <v>74</v>
      </c>
      <c r="D8" s="14">
        <v>61</v>
      </c>
      <c r="E8" s="103" t="s">
        <v>75</v>
      </c>
      <c r="F8" s="23" t="s">
        <v>110</v>
      </c>
      <c r="G8" s="14">
        <v>3</v>
      </c>
      <c r="H8" s="14">
        <v>6</v>
      </c>
      <c r="I8" s="103" t="s">
        <v>561</v>
      </c>
      <c r="J8" s="14" t="s">
        <v>654</v>
      </c>
      <c r="K8" s="14" t="s">
        <v>655</v>
      </c>
    </row>
    <row r="9" spans="1:17" x14ac:dyDescent="0.35">
      <c r="A9" s="43" t="s">
        <v>649</v>
      </c>
      <c r="B9" s="102" t="s">
        <v>273</v>
      </c>
      <c r="C9" s="14" t="s">
        <v>74</v>
      </c>
      <c r="D9" s="14">
        <v>61</v>
      </c>
      <c r="E9" s="14" t="s">
        <v>88</v>
      </c>
      <c r="F9" s="1" t="s">
        <v>76</v>
      </c>
      <c r="G9" s="1">
        <v>3</v>
      </c>
      <c r="H9" s="14" t="s">
        <v>557</v>
      </c>
      <c r="I9" s="58" t="s">
        <v>656</v>
      </c>
      <c r="J9" s="1" t="s">
        <v>657</v>
      </c>
      <c r="N9" s="1"/>
      <c r="P9" s="54" t="b">
        <v>0</v>
      </c>
    </row>
    <row r="10" spans="1:17" x14ac:dyDescent="0.35">
      <c r="A10" s="43" t="s">
        <v>649</v>
      </c>
      <c r="B10" s="102" t="s">
        <v>274</v>
      </c>
      <c r="C10" s="14" t="s">
        <v>74</v>
      </c>
      <c r="D10" s="14">
        <v>61</v>
      </c>
      <c r="E10" s="14" t="s">
        <v>88</v>
      </c>
      <c r="F10" s="1" t="s">
        <v>92</v>
      </c>
      <c r="G10" s="1">
        <v>2</v>
      </c>
      <c r="H10" s="14" t="s">
        <v>557</v>
      </c>
      <c r="I10" s="58" t="s">
        <v>656</v>
      </c>
      <c r="J10" s="1" t="s">
        <v>658</v>
      </c>
      <c r="N10" s="1"/>
      <c r="P10" s="54" t="b">
        <v>0</v>
      </c>
    </row>
    <row r="11" spans="1:17" x14ac:dyDescent="0.35">
      <c r="A11" s="43" t="s">
        <v>659</v>
      </c>
      <c r="B11" s="102" t="s">
        <v>660</v>
      </c>
      <c r="C11" s="58" t="s">
        <v>74</v>
      </c>
      <c r="D11" s="58">
        <v>60</v>
      </c>
      <c r="E11" s="14" t="s">
        <v>88</v>
      </c>
      <c r="F11" s="14" t="s">
        <v>98</v>
      </c>
      <c r="G11" s="14">
        <v>3</v>
      </c>
      <c r="H11" s="14" t="s">
        <v>557</v>
      </c>
      <c r="I11" s="58" t="s">
        <v>650</v>
      </c>
      <c r="J11" s="14" t="s">
        <v>652</v>
      </c>
      <c r="K11" s="14" t="s">
        <v>661</v>
      </c>
    </row>
    <row r="12" spans="1:17" x14ac:dyDescent="0.35">
      <c r="A12" s="43" t="s">
        <v>659</v>
      </c>
      <c r="B12" s="102" t="s">
        <v>660</v>
      </c>
      <c r="C12" s="58" t="s">
        <v>74</v>
      </c>
      <c r="D12" s="58">
        <v>60</v>
      </c>
      <c r="E12" s="14" t="s">
        <v>82</v>
      </c>
      <c r="F12" s="14" t="s">
        <v>86</v>
      </c>
      <c r="G12" s="14">
        <v>3</v>
      </c>
      <c r="H12" s="14" t="s">
        <v>557</v>
      </c>
      <c r="I12" s="58" t="s">
        <v>625</v>
      </c>
      <c r="J12" s="14" t="s">
        <v>651</v>
      </c>
      <c r="K12" s="14" t="s">
        <v>652</v>
      </c>
    </row>
    <row r="13" spans="1:17" x14ac:dyDescent="0.35">
      <c r="A13" s="43" t="s">
        <v>659</v>
      </c>
      <c r="B13" s="102" t="s">
        <v>351</v>
      </c>
      <c r="C13" s="58" t="s">
        <v>74</v>
      </c>
      <c r="D13" s="58">
        <v>61</v>
      </c>
      <c r="E13" s="14" t="s">
        <v>85</v>
      </c>
      <c r="F13" s="14" t="s">
        <v>98</v>
      </c>
      <c r="G13" s="14">
        <v>3</v>
      </c>
      <c r="H13" s="14" t="s">
        <v>471</v>
      </c>
      <c r="I13" s="58" t="s">
        <v>656</v>
      </c>
      <c r="J13" s="14" t="s">
        <v>662</v>
      </c>
    </row>
    <row r="14" spans="1:17" x14ac:dyDescent="0.35">
      <c r="A14" s="43" t="s">
        <v>659</v>
      </c>
      <c r="B14" s="102" t="s">
        <v>351</v>
      </c>
      <c r="C14" s="58" t="s">
        <v>74</v>
      </c>
      <c r="D14" s="58">
        <v>61</v>
      </c>
      <c r="E14" s="14" t="s">
        <v>75</v>
      </c>
      <c r="F14" s="14" t="s">
        <v>98</v>
      </c>
      <c r="G14" s="14">
        <v>3</v>
      </c>
      <c r="H14" s="14">
        <v>8</v>
      </c>
      <c r="I14" s="58" t="s">
        <v>656</v>
      </c>
      <c r="J14" s="14" t="s">
        <v>662</v>
      </c>
    </row>
    <row r="15" spans="1:17" x14ac:dyDescent="0.35">
      <c r="A15" s="43" t="s">
        <v>659</v>
      </c>
      <c r="B15" s="102" t="s">
        <v>355</v>
      </c>
      <c r="C15" s="14" t="s">
        <v>663</v>
      </c>
      <c r="D15" s="14">
        <v>57</v>
      </c>
      <c r="E15" s="14" t="s">
        <v>85</v>
      </c>
      <c r="F15" s="14" t="s">
        <v>86</v>
      </c>
      <c r="G15" s="14">
        <v>3</v>
      </c>
      <c r="H15" s="14" t="s">
        <v>471</v>
      </c>
      <c r="I15" s="58" t="s">
        <v>625</v>
      </c>
      <c r="J15" s="14" t="s">
        <v>664</v>
      </c>
    </row>
    <row r="16" spans="1:17" x14ac:dyDescent="0.35">
      <c r="A16" s="43" t="s">
        <v>659</v>
      </c>
      <c r="B16" s="102" t="s">
        <v>355</v>
      </c>
      <c r="C16" s="14" t="s">
        <v>663</v>
      </c>
      <c r="D16" s="14">
        <v>57</v>
      </c>
      <c r="E16" s="14" t="s">
        <v>75</v>
      </c>
      <c r="F16" s="14" t="s">
        <v>86</v>
      </c>
      <c r="G16" s="14">
        <v>3</v>
      </c>
      <c r="H16" s="14" t="s">
        <v>708</v>
      </c>
      <c r="I16" s="58" t="s">
        <v>625</v>
      </c>
      <c r="J16" s="14" t="s">
        <v>664</v>
      </c>
    </row>
    <row r="17" spans="1:16" x14ac:dyDescent="0.35">
      <c r="A17" s="43" t="s">
        <v>659</v>
      </c>
      <c r="B17" s="102" t="s">
        <v>355</v>
      </c>
      <c r="C17" s="14" t="s">
        <v>663</v>
      </c>
      <c r="D17" s="14">
        <v>57</v>
      </c>
      <c r="E17" s="14" t="s">
        <v>88</v>
      </c>
      <c r="F17" s="14" t="s">
        <v>86</v>
      </c>
      <c r="G17" s="1">
        <v>2</v>
      </c>
      <c r="H17" s="14" t="s">
        <v>752</v>
      </c>
      <c r="I17" s="58" t="s">
        <v>625</v>
      </c>
      <c r="J17" s="1" t="s">
        <v>664</v>
      </c>
      <c r="N17" s="1"/>
      <c r="P17" s="54" t="b">
        <v>0</v>
      </c>
    </row>
    <row r="18" spans="1:16" x14ac:dyDescent="0.35">
      <c r="A18" s="43" t="s">
        <v>659</v>
      </c>
      <c r="B18" s="102" t="s">
        <v>355</v>
      </c>
      <c r="C18" s="14" t="s">
        <v>663</v>
      </c>
      <c r="D18" s="14">
        <v>57</v>
      </c>
      <c r="E18" s="103" t="s">
        <v>88</v>
      </c>
      <c r="F18" s="103" t="s">
        <v>110</v>
      </c>
      <c r="G18" s="23">
        <v>2</v>
      </c>
      <c r="H18" s="14">
        <v>6</v>
      </c>
      <c r="I18" s="58" t="s">
        <v>625</v>
      </c>
      <c r="J18" s="1" t="s">
        <v>664</v>
      </c>
      <c r="N18" s="1"/>
      <c r="P18" s="54" t="b">
        <v>0</v>
      </c>
    </row>
    <row r="19" spans="1:16" x14ac:dyDescent="0.35">
      <c r="A19" s="1"/>
      <c r="F19" s="1"/>
      <c r="G19" s="1"/>
      <c r="J19" s="1"/>
      <c r="N19" s="1"/>
      <c r="P19" s="54" t="b">
        <v>0</v>
      </c>
    </row>
    <row r="20" spans="1:16" x14ac:dyDescent="0.35">
      <c r="A20" s="1"/>
      <c r="F20" s="1"/>
      <c r="G20" s="1"/>
      <c r="J20" s="1"/>
      <c r="N20" s="1"/>
      <c r="P20" s="54" t="b">
        <v>0</v>
      </c>
    </row>
    <row r="21" spans="1:16" x14ac:dyDescent="0.35">
      <c r="A21" s="1"/>
      <c r="F21" s="1"/>
      <c r="G21" s="1"/>
      <c r="J21" s="1"/>
      <c r="N21" s="1"/>
      <c r="P21" s="54" t="b">
        <v>0</v>
      </c>
    </row>
    <row r="22" spans="1:16" x14ac:dyDescent="0.35">
      <c r="A22" s="1"/>
      <c r="F22" s="1"/>
      <c r="G22" s="1"/>
      <c r="J22" s="1"/>
      <c r="N22" s="1"/>
      <c r="P22" s="54" t="b">
        <v>0</v>
      </c>
    </row>
    <row r="23" spans="1:16" x14ac:dyDescent="0.35">
      <c r="A23" s="1"/>
      <c r="F23" s="1"/>
      <c r="G23" s="1"/>
      <c r="J23" s="1"/>
      <c r="N23" s="1"/>
      <c r="P23" s="54" t="b">
        <v>0</v>
      </c>
    </row>
    <row r="24" spans="1:16" x14ac:dyDescent="0.35">
      <c r="A24" s="1"/>
      <c r="F24" s="1"/>
      <c r="G24" s="1"/>
      <c r="J24" s="1"/>
      <c r="N24" s="1"/>
      <c r="P24" s="54" t="b">
        <v>0</v>
      </c>
    </row>
    <row r="25" spans="1:16" x14ac:dyDescent="0.35">
      <c r="A25" s="1"/>
      <c r="F25" s="1"/>
      <c r="G25" s="1"/>
      <c r="J25" s="1"/>
      <c r="N25" s="1"/>
      <c r="P25" s="54" t="b">
        <v>0</v>
      </c>
    </row>
    <row r="26" spans="1:16" x14ac:dyDescent="0.35">
      <c r="A26" s="1"/>
      <c r="F26" s="1"/>
      <c r="G26" s="1"/>
      <c r="J26" s="1"/>
      <c r="N26" s="1"/>
      <c r="P26" s="54" t="b">
        <v>0</v>
      </c>
    </row>
    <row r="27" spans="1:16" x14ac:dyDescent="0.35">
      <c r="A27" s="1"/>
      <c r="F27" s="1"/>
      <c r="G27" s="1"/>
      <c r="J27" s="1"/>
      <c r="N27" s="1"/>
      <c r="P27" s="54" t="b">
        <v>0</v>
      </c>
    </row>
    <row r="28" spans="1:16" x14ac:dyDescent="0.35">
      <c r="A28" s="1"/>
      <c r="F28" s="1"/>
      <c r="G28" s="1"/>
      <c r="J28" s="1"/>
      <c r="N28" s="1"/>
      <c r="P28" s="54" t="b">
        <v>0</v>
      </c>
    </row>
    <row r="29" spans="1:16" x14ac:dyDescent="0.35">
      <c r="A29" s="1"/>
      <c r="F29" s="1"/>
      <c r="G29" s="1"/>
      <c r="J29" s="1"/>
      <c r="N29" s="1"/>
      <c r="P29" s="54" t="b">
        <v>0</v>
      </c>
    </row>
    <row r="30" spans="1:16" x14ac:dyDescent="0.35">
      <c r="A30" s="1"/>
      <c r="F30" s="1"/>
      <c r="G30" s="1"/>
      <c r="J30" s="1"/>
      <c r="N30" s="1"/>
      <c r="P30" s="54" t="b">
        <v>0</v>
      </c>
    </row>
    <row r="31" spans="1:16" x14ac:dyDescent="0.35">
      <c r="A31" s="1"/>
      <c r="F31" s="1"/>
      <c r="G31" s="1"/>
      <c r="J31" s="1"/>
      <c r="N31" s="1"/>
      <c r="P31" s="54" t="b">
        <v>0</v>
      </c>
    </row>
    <row r="32" spans="1:16" x14ac:dyDescent="0.35">
      <c r="A32" s="1"/>
      <c r="F32" s="1"/>
      <c r="G32" s="1"/>
      <c r="J32" s="1"/>
      <c r="N32" s="1"/>
      <c r="P32" s="54" t="b">
        <v>0</v>
      </c>
    </row>
    <row r="33" spans="1:16" x14ac:dyDescent="0.35">
      <c r="A33" s="1"/>
      <c r="F33" s="1"/>
      <c r="G33" s="1"/>
      <c r="J33" s="1"/>
      <c r="N33" s="1"/>
      <c r="P33" s="54" t="b">
        <v>0</v>
      </c>
    </row>
    <row r="34" spans="1:16" x14ac:dyDescent="0.35">
      <c r="A34" s="1"/>
      <c r="F34" s="1"/>
      <c r="G34" s="1"/>
      <c r="J34" s="1"/>
      <c r="N34" s="1"/>
      <c r="P34" s="54" t="b">
        <v>0</v>
      </c>
    </row>
    <row r="35" spans="1:16" x14ac:dyDescent="0.35">
      <c r="A35" s="1"/>
      <c r="F35" s="1"/>
      <c r="G35" s="1"/>
      <c r="J35" s="1"/>
      <c r="N35" s="1"/>
      <c r="P35" s="54" t="b">
        <v>0</v>
      </c>
    </row>
  </sheetData>
  <autoFilter ref="A2:Q35" xr:uid="{43C90A91-E61A-48F7-A1F8-FF938C080F50}"/>
  <dataValidations count="2">
    <dataValidation type="list" allowBlank="1" showInputMessage="1" showErrorMessage="1" sqref="J36:J1048576 J8 J6" xr:uid="{2CFCDE28-BF6C-49A3-854B-206AA1A8137B}">
      <formula1>$B$3:$B$267</formula1>
    </dataValidation>
    <dataValidation type="list" allowBlank="1" showInputMessage="1" showErrorMessage="1" sqref="O3:O10 N6:O8 N36:O1048576 O17:O35" xr:uid="{8FA5AF32-5D89-49D1-BCB2-60D86A73F2BA}">
      <formula1>#REF!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9392-49FF-4B13-B253-5B96D6BBC8BF}">
  <dimension ref="A1:Q148"/>
  <sheetViews>
    <sheetView zoomScale="80" zoomScaleNormal="80" workbookViewId="0">
      <pane xSplit="1" ySplit="2" topLeftCell="B19" activePane="bottomRight" state="frozen"/>
      <selection pane="topRight" activeCell="B1" sqref="B1"/>
      <selection pane="bottomLeft" activeCell="A3" sqref="A3"/>
      <selection pane="bottomRight" activeCell="I35" sqref="I35"/>
    </sheetView>
  </sheetViews>
  <sheetFormatPr defaultColWidth="8.81640625" defaultRowHeight="14.5" x14ac:dyDescent="0.35"/>
  <cols>
    <col min="1" max="1" width="10.81640625" style="4" customWidth="1"/>
    <col min="2" max="2" width="12.54296875" style="4" bestFit="1" customWidth="1"/>
    <col min="3" max="3" width="18.453125" style="4" bestFit="1" customWidth="1"/>
    <col min="4" max="6" width="12.54296875" style="4" customWidth="1"/>
    <col min="7" max="7" width="20.81640625" style="4" bestFit="1" customWidth="1"/>
    <col min="8" max="8" width="19.90625" style="4" bestFit="1" customWidth="1"/>
    <col min="9" max="9" width="47.1796875" style="4" customWidth="1"/>
    <col min="10" max="10" width="25" style="4" customWidth="1"/>
    <col min="11" max="11" width="23.81640625" style="4" bestFit="1" customWidth="1"/>
    <col min="12" max="12" width="28.453125" style="4" bestFit="1" customWidth="1"/>
    <col min="13" max="13" width="12.81640625" style="4" customWidth="1"/>
    <col min="14" max="14" width="28.453125" style="4" bestFit="1" customWidth="1"/>
    <col min="15" max="15" width="12.81640625" style="4" customWidth="1"/>
    <col min="16" max="17" width="20.81640625" style="47" customWidth="1"/>
    <col min="18" max="16384" width="8.81640625" style="47"/>
  </cols>
  <sheetData>
    <row r="1" spans="1:17" ht="60" customHeight="1" x14ac:dyDescent="0.35">
      <c r="A1" s="24" t="s">
        <v>456</v>
      </c>
      <c r="B1" s="4" t="s">
        <v>749</v>
      </c>
      <c r="G1" s="44" t="s">
        <v>37</v>
      </c>
      <c r="P1" s="45" t="s">
        <v>38</v>
      </c>
      <c r="Q1" s="46" t="s">
        <v>39</v>
      </c>
    </row>
    <row r="2" spans="1:17" x14ac:dyDescent="0.35">
      <c r="A2" s="10" t="s">
        <v>40</v>
      </c>
      <c r="B2" s="48" t="s">
        <v>41</v>
      </c>
      <c r="C2" s="48" t="s">
        <v>42</v>
      </c>
      <c r="D2" s="48" t="s">
        <v>43</v>
      </c>
      <c r="E2" s="48" t="s">
        <v>44</v>
      </c>
      <c r="F2" s="48" t="s">
        <v>45</v>
      </c>
      <c r="G2" s="48" t="s">
        <v>46</v>
      </c>
      <c r="H2" s="48" t="s">
        <v>47</v>
      </c>
      <c r="I2" s="48" t="s">
        <v>48</v>
      </c>
      <c r="J2" s="48" t="s">
        <v>49</v>
      </c>
      <c r="K2" s="48" t="s">
        <v>50</v>
      </c>
      <c r="L2" s="48" t="s">
        <v>51</v>
      </c>
      <c r="M2" s="48" t="s">
        <v>52</v>
      </c>
      <c r="N2" s="48" t="s">
        <v>53</v>
      </c>
      <c r="O2" s="48" t="s">
        <v>54</v>
      </c>
      <c r="P2" s="49" t="s">
        <v>55</v>
      </c>
    </row>
    <row r="3" spans="1:17" ht="43.5" x14ac:dyDescent="0.35">
      <c r="A3" s="4" t="s">
        <v>474</v>
      </c>
      <c r="B3" s="100" t="s">
        <v>296</v>
      </c>
      <c r="C3" s="4" t="s">
        <v>74</v>
      </c>
      <c r="D3" s="4">
        <v>10</v>
      </c>
      <c r="E3" s="4" t="s">
        <v>91</v>
      </c>
      <c r="F3" s="4" t="s">
        <v>86</v>
      </c>
      <c r="G3" s="4">
        <v>3</v>
      </c>
      <c r="H3" s="4">
        <v>3</v>
      </c>
      <c r="I3" s="50" t="s">
        <v>475</v>
      </c>
      <c r="J3" s="4" t="s">
        <v>476</v>
      </c>
      <c r="K3" s="4" t="s">
        <v>477</v>
      </c>
      <c r="N3" s="50" t="s">
        <v>478</v>
      </c>
      <c r="P3" s="51" t="b">
        <v>0</v>
      </c>
    </row>
    <row r="4" spans="1:17" ht="43.5" x14ac:dyDescent="0.35">
      <c r="A4" s="4" t="s">
        <v>474</v>
      </c>
      <c r="B4" s="100" t="s">
        <v>296</v>
      </c>
      <c r="C4" s="4" t="s">
        <v>79</v>
      </c>
      <c r="D4" s="4">
        <v>10</v>
      </c>
      <c r="E4" s="4" t="s">
        <v>82</v>
      </c>
      <c r="F4" s="4" t="s">
        <v>86</v>
      </c>
      <c r="G4" s="4">
        <v>3</v>
      </c>
      <c r="H4" s="4">
        <v>3</v>
      </c>
      <c r="I4" s="50" t="s">
        <v>475</v>
      </c>
      <c r="J4" s="4" t="s">
        <v>476</v>
      </c>
      <c r="K4" s="4" t="s">
        <v>477</v>
      </c>
      <c r="N4" s="50" t="s">
        <v>479</v>
      </c>
      <c r="P4" s="51" t="b">
        <v>0</v>
      </c>
    </row>
    <row r="5" spans="1:17" ht="43.5" x14ac:dyDescent="0.35">
      <c r="A5" s="4" t="s">
        <v>474</v>
      </c>
      <c r="B5" s="100" t="s">
        <v>296</v>
      </c>
      <c r="C5" s="4" t="s">
        <v>81</v>
      </c>
      <c r="D5" s="4">
        <v>10</v>
      </c>
      <c r="E5" s="4" t="s">
        <v>91</v>
      </c>
      <c r="F5" s="4" t="s">
        <v>86</v>
      </c>
      <c r="G5" s="4">
        <v>3</v>
      </c>
      <c r="H5" s="4">
        <v>4</v>
      </c>
      <c r="I5" s="50" t="s">
        <v>475</v>
      </c>
      <c r="J5" s="4" t="s">
        <v>476</v>
      </c>
      <c r="K5" s="4" t="s">
        <v>477</v>
      </c>
      <c r="N5" s="50" t="s">
        <v>480</v>
      </c>
      <c r="P5" s="51" t="b">
        <v>0</v>
      </c>
    </row>
    <row r="6" spans="1:17" ht="43.5" x14ac:dyDescent="0.35">
      <c r="A6" s="4" t="s">
        <v>474</v>
      </c>
      <c r="B6" s="100" t="s">
        <v>296</v>
      </c>
      <c r="C6" s="4" t="s">
        <v>94</v>
      </c>
      <c r="D6" s="4">
        <v>10</v>
      </c>
      <c r="E6" s="4" t="s">
        <v>82</v>
      </c>
      <c r="F6" s="4" t="s">
        <v>86</v>
      </c>
      <c r="G6" s="4">
        <v>3</v>
      </c>
      <c r="H6" s="4">
        <v>4</v>
      </c>
      <c r="I6" s="50" t="s">
        <v>475</v>
      </c>
      <c r="J6" s="4" t="s">
        <v>476</v>
      </c>
      <c r="K6" s="4" t="s">
        <v>477</v>
      </c>
      <c r="N6" s="50" t="s">
        <v>481</v>
      </c>
      <c r="P6" s="51" t="b">
        <v>0</v>
      </c>
    </row>
    <row r="7" spans="1:17" ht="43.5" x14ac:dyDescent="0.35">
      <c r="A7" s="4" t="s">
        <v>474</v>
      </c>
      <c r="B7" s="100" t="s">
        <v>296</v>
      </c>
      <c r="C7" s="4" t="s">
        <v>97</v>
      </c>
      <c r="D7" s="4">
        <v>10</v>
      </c>
      <c r="E7" s="4" t="s">
        <v>91</v>
      </c>
      <c r="F7" s="4" t="s">
        <v>86</v>
      </c>
      <c r="G7" s="4">
        <v>3</v>
      </c>
      <c r="H7" s="4">
        <v>5</v>
      </c>
      <c r="I7" s="50" t="s">
        <v>475</v>
      </c>
      <c r="J7" s="4" t="s">
        <v>476</v>
      </c>
      <c r="K7" s="4" t="s">
        <v>477</v>
      </c>
      <c r="N7" s="50" t="s">
        <v>482</v>
      </c>
      <c r="P7" s="51" t="b">
        <v>0</v>
      </c>
    </row>
    <row r="8" spans="1:17" ht="43.5" x14ac:dyDescent="0.35">
      <c r="A8" s="4" t="s">
        <v>474</v>
      </c>
      <c r="B8" s="100" t="s">
        <v>296</v>
      </c>
      <c r="C8" s="4" t="s">
        <v>100</v>
      </c>
      <c r="D8" s="4">
        <v>11</v>
      </c>
      <c r="E8" s="4" t="s">
        <v>82</v>
      </c>
      <c r="F8" s="4" t="s">
        <v>86</v>
      </c>
      <c r="G8" s="4">
        <v>3</v>
      </c>
      <c r="H8" s="4">
        <v>5</v>
      </c>
      <c r="I8" s="50" t="s">
        <v>475</v>
      </c>
      <c r="J8" s="4" t="s">
        <v>476</v>
      </c>
      <c r="K8" s="4" t="s">
        <v>477</v>
      </c>
      <c r="N8" s="50" t="s">
        <v>483</v>
      </c>
      <c r="P8" s="51" t="b">
        <v>0</v>
      </c>
    </row>
    <row r="9" spans="1:17" ht="43.5" x14ac:dyDescent="0.35">
      <c r="A9" s="4" t="s">
        <v>474</v>
      </c>
      <c r="B9" s="100" t="s">
        <v>296</v>
      </c>
      <c r="C9" s="4" t="s">
        <v>103</v>
      </c>
      <c r="D9" s="4">
        <v>11</v>
      </c>
      <c r="E9" s="4" t="s">
        <v>91</v>
      </c>
      <c r="F9" s="4" t="s">
        <v>86</v>
      </c>
      <c r="G9" s="4">
        <v>3</v>
      </c>
      <c r="H9" s="4">
        <v>8</v>
      </c>
      <c r="I9" s="50" t="s">
        <v>475</v>
      </c>
      <c r="J9" s="4" t="s">
        <v>476</v>
      </c>
      <c r="K9" s="4" t="s">
        <v>477</v>
      </c>
      <c r="N9" s="50" t="s">
        <v>484</v>
      </c>
      <c r="P9" s="51" t="b">
        <v>0</v>
      </c>
    </row>
    <row r="10" spans="1:17" ht="43.5" x14ac:dyDescent="0.35">
      <c r="A10" s="4" t="s">
        <v>474</v>
      </c>
      <c r="B10" s="100" t="s">
        <v>296</v>
      </c>
      <c r="C10" s="4" t="s">
        <v>106</v>
      </c>
      <c r="D10" s="4">
        <v>11</v>
      </c>
      <c r="E10" s="4" t="s">
        <v>82</v>
      </c>
      <c r="F10" s="4" t="s">
        <v>86</v>
      </c>
      <c r="G10" s="4">
        <v>3</v>
      </c>
      <c r="H10" s="4">
        <v>8</v>
      </c>
      <c r="I10" s="50" t="s">
        <v>475</v>
      </c>
      <c r="J10" s="4" t="s">
        <v>476</v>
      </c>
      <c r="K10" s="4" t="s">
        <v>477</v>
      </c>
      <c r="N10" s="50" t="s">
        <v>485</v>
      </c>
      <c r="P10" s="51" t="b">
        <v>0</v>
      </c>
    </row>
    <row r="11" spans="1:17" ht="43.5" x14ac:dyDescent="0.35">
      <c r="A11" s="4" t="s">
        <v>474</v>
      </c>
      <c r="B11" s="100" t="s">
        <v>296</v>
      </c>
      <c r="C11" s="4" t="s">
        <v>109</v>
      </c>
      <c r="D11" s="4">
        <v>11</v>
      </c>
      <c r="E11" s="4" t="s">
        <v>82</v>
      </c>
      <c r="F11" s="4" t="s">
        <v>86</v>
      </c>
      <c r="G11" s="4">
        <v>3</v>
      </c>
      <c r="H11" s="4">
        <v>9</v>
      </c>
      <c r="I11" s="50" t="s">
        <v>475</v>
      </c>
      <c r="J11" s="4" t="s">
        <v>476</v>
      </c>
      <c r="K11" s="4" t="s">
        <v>477</v>
      </c>
      <c r="N11" s="50" t="s">
        <v>486</v>
      </c>
      <c r="P11" s="51" t="b">
        <v>0</v>
      </c>
    </row>
    <row r="12" spans="1:17" x14ac:dyDescent="0.35">
      <c r="A12" s="4" t="s">
        <v>474</v>
      </c>
      <c r="B12" s="100" t="s">
        <v>295</v>
      </c>
      <c r="C12" s="4" t="s">
        <v>487</v>
      </c>
      <c r="D12" s="4">
        <v>10</v>
      </c>
      <c r="E12" s="4" t="s">
        <v>82</v>
      </c>
      <c r="F12" s="4" t="s">
        <v>76</v>
      </c>
      <c r="G12" s="4">
        <v>3</v>
      </c>
      <c r="H12" s="4">
        <v>3</v>
      </c>
      <c r="I12" s="50" t="s">
        <v>488</v>
      </c>
      <c r="J12" s="4" t="s">
        <v>489</v>
      </c>
      <c r="K12" s="4" t="s">
        <v>490</v>
      </c>
      <c r="L12" s="4" t="s">
        <v>491</v>
      </c>
      <c r="P12" s="51" t="b">
        <v>0</v>
      </c>
    </row>
    <row r="13" spans="1:17" x14ac:dyDescent="0.35">
      <c r="A13" s="4" t="s">
        <v>474</v>
      </c>
      <c r="B13" s="100" t="s">
        <v>295</v>
      </c>
      <c r="C13" s="4" t="s">
        <v>492</v>
      </c>
      <c r="D13" s="4">
        <v>10</v>
      </c>
      <c r="E13" s="4" t="s">
        <v>82</v>
      </c>
      <c r="F13" s="4" t="s">
        <v>76</v>
      </c>
      <c r="G13" s="4">
        <v>3</v>
      </c>
      <c r="H13" s="4">
        <v>4</v>
      </c>
      <c r="I13" s="50" t="s">
        <v>488</v>
      </c>
      <c r="J13" s="4" t="s">
        <v>489</v>
      </c>
      <c r="K13" s="4" t="s">
        <v>490</v>
      </c>
      <c r="L13" s="4" t="s">
        <v>491</v>
      </c>
      <c r="P13" s="51" t="b">
        <v>0</v>
      </c>
    </row>
    <row r="14" spans="1:17" x14ac:dyDescent="0.35">
      <c r="A14" s="4" t="s">
        <v>474</v>
      </c>
      <c r="B14" s="100" t="s">
        <v>295</v>
      </c>
      <c r="C14" s="4" t="s">
        <v>493</v>
      </c>
      <c r="D14" s="4">
        <v>10</v>
      </c>
      <c r="E14" s="4" t="s">
        <v>82</v>
      </c>
      <c r="F14" s="4" t="s">
        <v>76</v>
      </c>
      <c r="G14" s="4">
        <v>3</v>
      </c>
      <c r="H14" s="4">
        <v>8</v>
      </c>
      <c r="I14" s="50" t="s">
        <v>488</v>
      </c>
      <c r="J14" s="4" t="s">
        <v>489</v>
      </c>
      <c r="K14" s="4" t="s">
        <v>490</v>
      </c>
      <c r="L14" s="4" t="s">
        <v>491</v>
      </c>
      <c r="N14" s="4" t="s">
        <v>494</v>
      </c>
      <c r="P14" s="51" t="b">
        <v>0</v>
      </c>
    </row>
    <row r="15" spans="1:17" x14ac:dyDescent="0.35">
      <c r="A15" s="4" t="s">
        <v>474</v>
      </c>
      <c r="B15" s="100" t="s">
        <v>295</v>
      </c>
      <c r="C15" s="4" t="s">
        <v>495</v>
      </c>
      <c r="D15" s="4">
        <v>10</v>
      </c>
      <c r="E15" s="4" t="s">
        <v>82</v>
      </c>
      <c r="F15" s="4" t="s">
        <v>76</v>
      </c>
      <c r="G15" s="4">
        <v>3</v>
      </c>
      <c r="H15" s="4">
        <v>9</v>
      </c>
      <c r="I15" s="50" t="s">
        <v>488</v>
      </c>
      <c r="J15" s="4" t="s">
        <v>489</v>
      </c>
      <c r="K15" s="4" t="s">
        <v>490</v>
      </c>
      <c r="L15" s="4" t="s">
        <v>491</v>
      </c>
      <c r="N15" s="4" t="s">
        <v>494</v>
      </c>
      <c r="P15" s="51" t="b">
        <v>0</v>
      </c>
    </row>
    <row r="16" spans="1:17" x14ac:dyDescent="0.35">
      <c r="A16" s="4" t="s">
        <v>474</v>
      </c>
      <c r="B16" s="100" t="s">
        <v>297</v>
      </c>
      <c r="C16" s="4" t="s">
        <v>487</v>
      </c>
      <c r="D16" s="4">
        <v>10</v>
      </c>
      <c r="E16" s="4" t="s">
        <v>82</v>
      </c>
      <c r="F16" s="4" t="s">
        <v>76</v>
      </c>
      <c r="G16" s="4">
        <v>3</v>
      </c>
      <c r="H16" s="4">
        <v>5</v>
      </c>
      <c r="I16" s="50" t="s">
        <v>488</v>
      </c>
      <c r="J16" s="4" t="s">
        <v>489</v>
      </c>
      <c r="K16" s="4" t="s">
        <v>490</v>
      </c>
      <c r="L16" s="4" t="s">
        <v>491</v>
      </c>
      <c r="P16" s="51" t="b">
        <v>0</v>
      </c>
    </row>
    <row r="17" spans="1:16" x14ac:dyDescent="0.35">
      <c r="A17" s="4" t="s">
        <v>474</v>
      </c>
      <c r="B17" s="100" t="s">
        <v>297</v>
      </c>
      <c r="C17" s="4" t="s">
        <v>492</v>
      </c>
      <c r="D17" s="4">
        <v>10</v>
      </c>
      <c r="E17" s="4" t="s">
        <v>82</v>
      </c>
      <c r="F17" s="4" t="s">
        <v>76</v>
      </c>
      <c r="G17" s="4">
        <v>3</v>
      </c>
      <c r="H17" s="4">
        <v>6</v>
      </c>
      <c r="I17" s="50" t="s">
        <v>488</v>
      </c>
      <c r="J17" s="4" t="s">
        <v>489</v>
      </c>
      <c r="K17" s="4" t="s">
        <v>490</v>
      </c>
      <c r="L17" s="4" t="s">
        <v>491</v>
      </c>
      <c r="P17" s="51" t="b">
        <v>0</v>
      </c>
    </row>
    <row r="18" spans="1:16" x14ac:dyDescent="0.35">
      <c r="A18" s="4" t="s">
        <v>474</v>
      </c>
      <c r="B18" s="100" t="s">
        <v>297</v>
      </c>
      <c r="C18" s="4" t="s">
        <v>493</v>
      </c>
      <c r="D18" s="4">
        <v>10</v>
      </c>
      <c r="E18" s="4" t="s">
        <v>82</v>
      </c>
      <c r="F18" s="4" t="s">
        <v>76</v>
      </c>
      <c r="G18" s="4">
        <v>3</v>
      </c>
      <c r="H18" s="4">
        <v>10</v>
      </c>
      <c r="I18" s="50" t="s">
        <v>488</v>
      </c>
      <c r="J18" s="4" t="s">
        <v>489</v>
      </c>
      <c r="K18" s="4" t="s">
        <v>490</v>
      </c>
      <c r="L18" s="4" t="s">
        <v>491</v>
      </c>
      <c r="N18" s="4" t="s">
        <v>494</v>
      </c>
      <c r="P18" s="51" t="b">
        <v>0</v>
      </c>
    </row>
    <row r="19" spans="1:16" x14ac:dyDescent="0.35">
      <c r="A19" s="4" t="s">
        <v>474</v>
      </c>
      <c r="B19" s="100" t="s">
        <v>297</v>
      </c>
      <c r="C19" s="4" t="s">
        <v>495</v>
      </c>
      <c r="D19" s="4">
        <v>10</v>
      </c>
      <c r="E19" s="4" t="s">
        <v>82</v>
      </c>
      <c r="F19" s="4" t="s">
        <v>76</v>
      </c>
      <c r="G19" s="4">
        <v>3</v>
      </c>
      <c r="H19" s="4">
        <v>11</v>
      </c>
      <c r="I19" s="50" t="s">
        <v>488</v>
      </c>
      <c r="J19" s="4" t="s">
        <v>489</v>
      </c>
      <c r="K19" s="4" t="s">
        <v>490</v>
      </c>
      <c r="L19" s="4" t="s">
        <v>491</v>
      </c>
      <c r="N19" s="4" t="s">
        <v>494</v>
      </c>
      <c r="P19" s="51" t="b">
        <v>0</v>
      </c>
    </row>
    <row r="20" spans="1:16" x14ac:dyDescent="0.35">
      <c r="A20" s="4" t="s">
        <v>474</v>
      </c>
      <c r="B20" s="100" t="s">
        <v>299</v>
      </c>
      <c r="C20" s="4" t="s">
        <v>487</v>
      </c>
      <c r="D20" s="4">
        <v>15</v>
      </c>
      <c r="E20" s="4" t="s">
        <v>91</v>
      </c>
      <c r="F20" s="4" t="s">
        <v>86</v>
      </c>
      <c r="G20" s="4">
        <v>3</v>
      </c>
      <c r="H20" s="4">
        <v>11</v>
      </c>
      <c r="I20" s="50" t="s">
        <v>464</v>
      </c>
      <c r="J20" s="4" t="s">
        <v>496</v>
      </c>
      <c r="K20" s="4" t="s">
        <v>466</v>
      </c>
      <c r="P20" s="51" t="b">
        <v>0</v>
      </c>
    </row>
    <row r="21" spans="1:16" x14ac:dyDescent="0.35">
      <c r="A21" s="4" t="s">
        <v>474</v>
      </c>
      <c r="B21" s="100" t="s">
        <v>299</v>
      </c>
      <c r="C21" s="4" t="s">
        <v>492</v>
      </c>
      <c r="D21" s="4">
        <v>15</v>
      </c>
      <c r="E21" s="4" t="s">
        <v>91</v>
      </c>
      <c r="F21" s="101" t="s">
        <v>86</v>
      </c>
      <c r="G21" s="4">
        <v>3</v>
      </c>
      <c r="H21" s="4">
        <v>10</v>
      </c>
      <c r="I21" s="50" t="s">
        <v>464</v>
      </c>
      <c r="J21" s="4" t="s">
        <v>496</v>
      </c>
      <c r="K21" s="4" t="s">
        <v>466</v>
      </c>
      <c r="P21" s="51" t="b">
        <v>0</v>
      </c>
    </row>
    <row r="22" spans="1:16" x14ac:dyDescent="0.35">
      <c r="A22" s="4" t="s">
        <v>474</v>
      </c>
      <c r="B22" s="100" t="s">
        <v>299</v>
      </c>
      <c r="C22" s="4" t="s">
        <v>493</v>
      </c>
      <c r="D22" s="4">
        <v>15</v>
      </c>
      <c r="E22" s="4" t="s">
        <v>82</v>
      </c>
      <c r="F22" s="4" t="s">
        <v>86</v>
      </c>
      <c r="G22" s="4">
        <v>3</v>
      </c>
      <c r="H22" s="85">
        <v>10</v>
      </c>
      <c r="I22" s="50" t="s">
        <v>464</v>
      </c>
      <c r="J22" s="4" t="s">
        <v>496</v>
      </c>
      <c r="K22" s="4" t="s">
        <v>466</v>
      </c>
      <c r="P22" s="51" t="b">
        <v>0</v>
      </c>
    </row>
    <row r="23" spans="1:16" x14ac:dyDescent="0.35">
      <c r="A23" s="4" t="s">
        <v>474</v>
      </c>
      <c r="B23" s="100" t="s">
        <v>299</v>
      </c>
      <c r="C23" s="4" t="s">
        <v>495</v>
      </c>
      <c r="D23" s="4">
        <v>15</v>
      </c>
      <c r="E23" s="4" t="s">
        <v>82</v>
      </c>
      <c r="F23" s="52" t="s">
        <v>76</v>
      </c>
      <c r="G23" s="4">
        <v>3</v>
      </c>
      <c r="H23" s="4">
        <v>11</v>
      </c>
      <c r="I23" s="50" t="s">
        <v>464</v>
      </c>
      <c r="J23" s="4" t="s">
        <v>496</v>
      </c>
      <c r="K23" s="4" t="s">
        <v>466</v>
      </c>
      <c r="P23" s="51" t="b">
        <v>0</v>
      </c>
    </row>
    <row r="24" spans="1:16" x14ac:dyDescent="0.35">
      <c r="A24" s="4" t="s">
        <v>474</v>
      </c>
      <c r="B24" s="100" t="s">
        <v>299</v>
      </c>
      <c r="C24" s="4" t="s">
        <v>497</v>
      </c>
      <c r="D24" s="4">
        <v>15</v>
      </c>
      <c r="E24" s="4" t="s">
        <v>91</v>
      </c>
      <c r="F24" s="4" t="s">
        <v>86</v>
      </c>
      <c r="G24" s="4">
        <v>3</v>
      </c>
      <c r="H24" s="4">
        <v>12</v>
      </c>
      <c r="I24" s="50" t="s">
        <v>464</v>
      </c>
      <c r="J24" s="4" t="s">
        <v>496</v>
      </c>
      <c r="K24" s="4" t="s">
        <v>466</v>
      </c>
      <c r="N24" s="4" t="s">
        <v>494</v>
      </c>
      <c r="P24" s="51" t="b">
        <v>0</v>
      </c>
    </row>
    <row r="25" spans="1:16" x14ac:dyDescent="0.35">
      <c r="P25" s="51" t="b">
        <v>0</v>
      </c>
    </row>
    <row r="26" spans="1:16" x14ac:dyDescent="0.35">
      <c r="P26" s="51" t="b">
        <v>0</v>
      </c>
    </row>
    <row r="27" spans="1:16" x14ac:dyDescent="0.35">
      <c r="A27" s="4" t="s">
        <v>474</v>
      </c>
      <c r="B27" s="100" t="s">
        <v>408</v>
      </c>
      <c r="C27" s="4" t="s">
        <v>74</v>
      </c>
      <c r="D27" s="4">
        <v>36</v>
      </c>
      <c r="E27" s="4" t="s">
        <v>91</v>
      </c>
      <c r="F27" s="4" t="s">
        <v>86</v>
      </c>
      <c r="G27" s="4">
        <v>3</v>
      </c>
      <c r="H27" s="4" t="s">
        <v>760</v>
      </c>
      <c r="I27" s="4" t="s">
        <v>761</v>
      </c>
      <c r="J27" s="4" t="s">
        <v>762</v>
      </c>
      <c r="K27" s="4" t="s">
        <v>763</v>
      </c>
      <c r="P27" s="51" t="b">
        <v>0</v>
      </c>
    </row>
    <row r="28" spans="1:16" x14ac:dyDescent="0.35">
      <c r="A28" s="4" t="s">
        <v>474</v>
      </c>
      <c r="B28" s="100" t="s">
        <v>408</v>
      </c>
      <c r="C28" s="4" t="s">
        <v>74</v>
      </c>
      <c r="D28" s="4">
        <v>36</v>
      </c>
      <c r="E28" s="4" t="s">
        <v>91</v>
      </c>
      <c r="F28" s="4" t="s">
        <v>86</v>
      </c>
      <c r="G28" s="4">
        <v>3</v>
      </c>
      <c r="H28" s="4">
        <v>1</v>
      </c>
      <c r="I28" s="4" t="s">
        <v>764</v>
      </c>
      <c r="J28" s="4" t="s">
        <v>762</v>
      </c>
      <c r="K28" s="4" t="s">
        <v>763</v>
      </c>
      <c r="P28" s="51" t="b">
        <v>0</v>
      </c>
    </row>
    <row r="29" spans="1:16" x14ac:dyDescent="0.35">
      <c r="A29" s="4" t="s">
        <v>474</v>
      </c>
      <c r="B29" s="100" t="s">
        <v>408</v>
      </c>
      <c r="C29" s="4" t="s">
        <v>74</v>
      </c>
      <c r="D29" s="4">
        <v>36</v>
      </c>
      <c r="E29" s="4" t="s">
        <v>91</v>
      </c>
      <c r="F29" s="4" t="s">
        <v>86</v>
      </c>
      <c r="G29" s="4">
        <v>3</v>
      </c>
      <c r="H29" s="4" t="s">
        <v>765</v>
      </c>
      <c r="I29" s="4" t="s">
        <v>766</v>
      </c>
      <c r="J29" s="4" t="s">
        <v>762</v>
      </c>
      <c r="K29" s="4" t="s">
        <v>763</v>
      </c>
      <c r="P29" s="51" t="b">
        <v>0</v>
      </c>
    </row>
    <row r="30" spans="1:16" x14ac:dyDescent="0.35">
      <c r="P30" s="51" t="b">
        <v>0</v>
      </c>
    </row>
    <row r="31" spans="1:16" x14ac:dyDescent="0.35">
      <c r="P31" s="51" t="b">
        <v>0</v>
      </c>
    </row>
    <row r="32" spans="1:16" x14ac:dyDescent="0.35">
      <c r="P32" s="51" t="b">
        <v>0</v>
      </c>
    </row>
    <row r="33" spans="16:16" x14ac:dyDescent="0.35">
      <c r="P33" s="51" t="b">
        <v>0</v>
      </c>
    </row>
    <row r="34" spans="16:16" x14ac:dyDescent="0.35">
      <c r="P34" s="51" t="b">
        <v>0</v>
      </c>
    </row>
    <row r="35" spans="16:16" x14ac:dyDescent="0.35">
      <c r="P35" s="51" t="b">
        <v>0</v>
      </c>
    </row>
    <row r="36" spans="16:16" x14ac:dyDescent="0.35">
      <c r="P36" s="51" t="b">
        <v>0</v>
      </c>
    </row>
    <row r="37" spans="16:16" x14ac:dyDescent="0.35">
      <c r="P37" s="51" t="b">
        <v>0</v>
      </c>
    </row>
    <row r="38" spans="16:16" x14ac:dyDescent="0.35">
      <c r="P38" s="51" t="b">
        <v>0</v>
      </c>
    </row>
    <row r="39" spans="16:16" x14ac:dyDescent="0.35">
      <c r="P39" s="51" t="b">
        <v>0</v>
      </c>
    </row>
    <row r="40" spans="16:16" x14ac:dyDescent="0.35">
      <c r="P40" s="51" t="b">
        <v>0</v>
      </c>
    </row>
    <row r="41" spans="16:16" x14ac:dyDescent="0.35">
      <c r="P41" s="51" t="b">
        <v>0</v>
      </c>
    </row>
    <row r="42" spans="16:16" x14ac:dyDescent="0.35">
      <c r="P42" s="51" t="b">
        <v>0</v>
      </c>
    </row>
    <row r="43" spans="16:16" x14ac:dyDescent="0.35">
      <c r="P43" s="51" t="b">
        <v>0</v>
      </c>
    </row>
    <row r="44" spans="16:16" x14ac:dyDescent="0.35">
      <c r="P44" s="51" t="b">
        <v>0</v>
      </c>
    </row>
    <row r="45" spans="16:16" x14ac:dyDescent="0.35">
      <c r="P45" s="51" t="b">
        <v>0</v>
      </c>
    </row>
    <row r="46" spans="16:16" x14ac:dyDescent="0.35">
      <c r="P46" s="51" t="b">
        <v>0</v>
      </c>
    </row>
    <row r="47" spans="16:16" x14ac:dyDescent="0.35">
      <c r="P47" s="51" t="b">
        <v>0</v>
      </c>
    </row>
    <row r="48" spans="16:16" x14ac:dyDescent="0.35">
      <c r="P48" s="51" t="b">
        <v>0</v>
      </c>
    </row>
    <row r="49" spans="6:16" x14ac:dyDescent="0.35">
      <c r="P49" s="51" t="b">
        <v>0</v>
      </c>
    </row>
    <row r="50" spans="6:16" x14ac:dyDescent="0.35">
      <c r="P50" s="51" t="b">
        <v>0</v>
      </c>
    </row>
    <row r="51" spans="6:16" x14ac:dyDescent="0.35">
      <c r="P51" s="51" t="b">
        <v>0</v>
      </c>
    </row>
    <row r="52" spans="6:16" x14ac:dyDescent="0.35">
      <c r="P52" s="51" t="b">
        <v>0</v>
      </c>
    </row>
    <row r="53" spans="6:16" x14ac:dyDescent="0.35">
      <c r="P53" s="51" t="b">
        <v>0</v>
      </c>
    </row>
    <row r="54" spans="6:16" x14ac:dyDescent="0.35">
      <c r="P54" s="51" t="b">
        <v>0</v>
      </c>
    </row>
    <row r="55" spans="6:16" x14ac:dyDescent="0.35">
      <c r="P55" s="51" t="b">
        <v>0</v>
      </c>
    </row>
    <row r="56" spans="6:16" x14ac:dyDescent="0.35">
      <c r="F56" s="53"/>
      <c r="P56" s="51" t="b">
        <v>0</v>
      </c>
    </row>
    <row r="57" spans="6:16" x14ac:dyDescent="0.35">
      <c r="F57" s="53"/>
      <c r="P57" s="51" t="b">
        <v>0</v>
      </c>
    </row>
    <row r="58" spans="6:16" x14ac:dyDescent="0.35">
      <c r="F58" s="53"/>
      <c r="P58" s="51" t="b">
        <v>0</v>
      </c>
    </row>
    <row r="59" spans="6:16" x14ac:dyDescent="0.35">
      <c r="F59" s="53"/>
      <c r="P59" s="51" t="b">
        <v>0</v>
      </c>
    </row>
    <row r="60" spans="6:16" x14ac:dyDescent="0.35">
      <c r="P60" s="51" t="b">
        <v>0</v>
      </c>
    </row>
    <row r="61" spans="6:16" x14ac:dyDescent="0.35">
      <c r="P61" s="51" t="b">
        <v>0</v>
      </c>
    </row>
    <row r="62" spans="6:16" x14ac:dyDescent="0.35">
      <c r="P62" s="51" t="b">
        <v>0</v>
      </c>
    </row>
    <row r="63" spans="6:16" x14ac:dyDescent="0.35">
      <c r="P63" s="51" t="b">
        <v>0</v>
      </c>
    </row>
    <row r="64" spans="6:16" x14ac:dyDescent="0.35">
      <c r="P64" s="51" t="b">
        <v>0</v>
      </c>
    </row>
    <row r="65" spans="16:16" x14ac:dyDescent="0.35">
      <c r="P65" s="51" t="b">
        <v>0</v>
      </c>
    </row>
    <row r="66" spans="16:16" x14ac:dyDescent="0.35">
      <c r="P66" s="51" t="b">
        <v>0</v>
      </c>
    </row>
    <row r="67" spans="16:16" x14ac:dyDescent="0.35">
      <c r="P67" s="51" t="b">
        <v>0</v>
      </c>
    </row>
    <row r="68" spans="16:16" x14ac:dyDescent="0.35">
      <c r="P68" s="51" t="b">
        <v>0</v>
      </c>
    </row>
    <row r="69" spans="16:16" x14ac:dyDescent="0.35">
      <c r="P69" s="51" t="b">
        <v>0</v>
      </c>
    </row>
    <row r="70" spans="16:16" x14ac:dyDescent="0.35">
      <c r="P70" s="51" t="b">
        <v>0</v>
      </c>
    </row>
    <row r="71" spans="16:16" x14ac:dyDescent="0.35">
      <c r="P71" s="51" t="b">
        <v>0</v>
      </c>
    </row>
    <row r="72" spans="16:16" x14ac:dyDescent="0.35">
      <c r="P72" s="51" t="b">
        <v>0</v>
      </c>
    </row>
    <row r="73" spans="16:16" x14ac:dyDescent="0.35">
      <c r="P73" s="51" t="b">
        <v>0</v>
      </c>
    </row>
    <row r="74" spans="16:16" x14ac:dyDescent="0.35">
      <c r="P74" s="51" t="b">
        <v>0</v>
      </c>
    </row>
    <row r="75" spans="16:16" x14ac:dyDescent="0.35">
      <c r="P75" s="51" t="b">
        <v>0</v>
      </c>
    </row>
    <row r="76" spans="16:16" x14ac:dyDescent="0.35">
      <c r="P76" s="51" t="b">
        <v>0</v>
      </c>
    </row>
    <row r="77" spans="16:16" x14ac:dyDescent="0.35">
      <c r="P77" s="51" t="b">
        <v>0</v>
      </c>
    </row>
    <row r="78" spans="16:16" x14ac:dyDescent="0.35">
      <c r="P78" s="51" t="b">
        <v>0</v>
      </c>
    </row>
    <row r="79" spans="16:16" x14ac:dyDescent="0.35">
      <c r="P79" s="51" t="b">
        <v>0</v>
      </c>
    </row>
    <row r="80" spans="16:16" x14ac:dyDescent="0.35">
      <c r="P80" s="51" t="b">
        <v>0</v>
      </c>
    </row>
    <row r="81" spans="16:16" x14ac:dyDescent="0.35">
      <c r="P81" s="51" t="b">
        <v>0</v>
      </c>
    </row>
    <row r="82" spans="16:16" x14ac:dyDescent="0.35">
      <c r="P82" s="51" t="b">
        <v>0</v>
      </c>
    </row>
    <row r="83" spans="16:16" x14ac:dyDescent="0.35">
      <c r="P83" s="51" t="b">
        <v>0</v>
      </c>
    </row>
    <row r="84" spans="16:16" x14ac:dyDescent="0.35">
      <c r="P84" s="51" t="b">
        <v>0</v>
      </c>
    </row>
    <row r="85" spans="16:16" x14ac:dyDescent="0.35">
      <c r="P85" s="51" t="b">
        <v>0</v>
      </c>
    </row>
    <row r="86" spans="16:16" x14ac:dyDescent="0.35">
      <c r="P86" s="51" t="b">
        <v>0</v>
      </c>
    </row>
    <row r="87" spans="16:16" x14ac:dyDescent="0.35">
      <c r="P87" s="51" t="b">
        <v>0</v>
      </c>
    </row>
    <row r="88" spans="16:16" x14ac:dyDescent="0.35">
      <c r="P88" s="51" t="b">
        <v>0</v>
      </c>
    </row>
    <row r="89" spans="16:16" x14ac:dyDescent="0.35">
      <c r="P89" s="51" t="b">
        <v>0</v>
      </c>
    </row>
    <row r="90" spans="16:16" x14ac:dyDescent="0.35">
      <c r="P90" s="51" t="b">
        <v>0</v>
      </c>
    </row>
    <row r="91" spans="16:16" x14ac:dyDescent="0.35">
      <c r="P91" s="51" t="b">
        <v>0</v>
      </c>
    </row>
    <row r="92" spans="16:16" x14ac:dyDescent="0.35">
      <c r="P92" s="51" t="b">
        <v>0</v>
      </c>
    </row>
    <row r="93" spans="16:16" x14ac:dyDescent="0.35">
      <c r="P93" s="51" t="b">
        <v>0</v>
      </c>
    </row>
    <row r="94" spans="16:16" x14ac:dyDescent="0.35">
      <c r="P94" s="51" t="b">
        <v>0</v>
      </c>
    </row>
    <row r="95" spans="16:16" x14ac:dyDescent="0.35">
      <c r="P95" s="51" t="b">
        <v>0</v>
      </c>
    </row>
    <row r="96" spans="16:16" x14ac:dyDescent="0.35">
      <c r="P96" s="51" t="b">
        <v>0</v>
      </c>
    </row>
    <row r="97" spans="16:16" x14ac:dyDescent="0.35">
      <c r="P97" s="51" t="b">
        <v>0</v>
      </c>
    </row>
    <row r="98" spans="16:16" x14ac:dyDescent="0.35">
      <c r="P98" s="51" t="b">
        <v>0</v>
      </c>
    </row>
    <row r="99" spans="16:16" x14ac:dyDescent="0.35">
      <c r="P99" s="51" t="b">
        <v>0</v>
      </c>
    </row>
    <row r="100" spans="16:16" x14ac:dyDescent="0.35">
      <c r="P100" s="51" t="b">
        <v>0</v>
      </c>
    </row>
    <row r="101" spans="16:16" x14ac:dyDescent="0.35">
      <c r="P101" s="51" t="b">
        <v>0</v>
      </c>
    </row>
    <row r="102" spans="16:16" x14ac:dyDescent="0.35">
      <c r="P102" s="51" t="b">
        <v>0</v>
      </c>
    </row>
    <row r="103" spans="16:16" x14ac:dyDescent="0.35">
      <c r="P103" s="51" t="b">
        <v>0</v>
      </c>
    </row>
    <row r="104" spans="16:16" x14ac:dyDescent="0.35">
      <c r="P104" s="51" t="b">
        <v>0</v>
      </c>
    </row>
    <row r="105" spans="16:16" x14ac:dyDescent="0.35">
      <c r="P105" s="51" t="b">
        <v>0</v>
      </c>
    </row>
    <row r="106" spans="16:16" x14ac:dyDescent="0.35">
      <c r="P106" s="51" t="b">
        <v>0</v>
      </c>
    </row>
    <row r="107" spans="16:16" x14ac:dyDescent="0.35">
      <c r="P107" s="51" t="b">
        <v>0</v>
      </c>
    </row>
    <row r="108" spans="16:16" x14ac:dyDescent="0.35">
      <c r="P108" s="51" t="b">
        <v>0</v>
      </c>
    </row>
    <row r="109" spans="16:16" x14ac:dyDescent="0.35">
      <c r="P109" s="51" t="b">
        <v>0</v>
      </c>
    </row>
    <row r="110" spans="16:16" x14ac:dyDescent="0.35">
      <c r="P110" s="51" t="b">
        <v>0</v>
      </c>
    </row>
    <row r="111" spans="16:16" x14ac:dyDescent="0.35">
      <c r="P111" s="51" t="b">
        <v>0</v>
      </c>
    </row>
    <row r="112" spans="16:16" x14ac:dyDescent="0.35">
      <c r="P112" s="51" t="b">
        <v>0</v>
      </c>
    </row>
    <row r="113" spans="16:16" x14ac:dyDescent="0.35">
      <c r="P113" s="51" t="b">
        <v>0</v>
      </c>
    </row>
    <row r="114" spans="16:16" x14ac:dyDescent="0.35">
      <c r="P114" s="51" t="b">
        <v>0</v>
      </c>
    </row>
    <row r="115" spans="16:16" x14ac:dyDescent="0.35">
      <c r="P115" s="51" t="b">
        <v>0</v>
      </c>
    </row>
    <row r="116" spans="16:16" x14ac:dyDescent="0.35">
      <c r="P116" s="51" t="b">
        <v>0</v>
      </c>
    </row>
    <row r="117" spans="16:16" x14ac:dyDescent="0.35">
      <c r="P117" s="51" t="b">
        <v>0</v>
      </c>
    </row>
    <row r="118" spans="16:16" x14ac:dyDescent="0.35">
      <c r="P118" s="51" t="b">
        <v>0</v>
      </c>
    </row>
    <row r="119" spans="16:16" x14ac:dyDescent="0.35">
      <c r="P119" s="51" t="b">
        <v>0</v>
      </c>
    </row>
    <row r="120" spans="16:16" x14ac:dyDescent="0.35">
      <c r="P120" s="51" t="b">
        <v>0</v>
      </c>
    </row>
    <row r="121" spans="16:16" x14ac:dyDescent="0.35">
      <c r="P121" s="51" t="b">
        <v>0</v>
      </c>
    </row>
    <row r="122" spans="16:16" x14ac:dyDescent="0.35">
      <c r="P122" s="51" t="b">
        <v>0</v>
      </c>
    </row>
    <row r="123" spans="16:16" x14ac:dyDescent="0.35">
      <c r="P123" s="51" t="b">
        <v>0</v>
      </c>
    </row>
    <row r="124" spans="16:16" x14ac:dyDescent="0.35">
      <c r="P124" s="51" t="b">
        <v>0</v>
      </c>
    </row>
    <row r="125" spans="16:16" x14ac:dyDescent="0.35">
      <c r="P125" s="51" t="b">
        <v>0</v>
      </c>
    </row>
    <row r="126" spans="16:16" x14ac:dyDescent="0.35">
      <c r="P126" s="51" t="b">
        <v>0</v>
      </c>
    </row>
    <row r="127" spans="16:16" x14ac:dyDescent="0.35">
      <c r="P127" s="51" t="b">
        <v>0</v>
      </c>
    </row>
    <row r="128" spans="16:16" x14ac:dyDescent="0.35">
      <c r="P128" s="51" t="b">
        <v>0</v>
      </c>
    </row>
    <row r="129" spans="16:16" x14ac:dyDescent="0.35">
      <c r="P129" s="51" t="b">
        <v>0</v>
      </c>
    </row>
    <row r="130" spans="16:16" x14ac:dyDescent="0.35">
      <c r="P130" s="51" t="b">
        <v>0</v>
      </c>
    </row>
    <row r="131" spans="16:16" x14ac:dyDescent="0.35">
      <c r="P131" s="51" t="b">
        <v>0</v>
      </c>
    </row>
    <row r="132" spans="16:16" x14ac:dyDescent="0.35">
      <c r="P132" s="51" t="b">
        <v>0</v>
      </c>
    </row>
    <row r="133" spans="16:16" x14ac:dyDescent="0.35">
      <c r="P133" s="51" t="b">
        <v>0</v>
      </c>
    </row>
    <row r="134" spans="16:16" x14ac:dyDescent="0.35">
      <c r="P134" s="51" t="b">
        <v>0</v>
      </c>
    </row>
    <row r="135" spans="16:16" x14ac:dyDescent="0.35">
      <c r="P135" s="51" t="b">
        <v>0</v>
      </c>
    </row>
    <row r="136" spans="16:16" x14ac:dyDescent="0.35">
      <c r="P136" s="51" t="b">
        <v>0</v>
      </c>
    </row>
    <row r="137" spans="16:16" x14ac:dyDescent="0.35">
      <c r="P137" s="51" t="b">
        <v>0</v>
      </c>
    </row>
    <row r="138" spans="16:16" x14ac:dyDescent="0.35">
      <c r="P138" s="51" t="b">
        <v>0</v>
      </c>
    </row>
    <row r="139" spans="16:16" x14ac:dyDescent="0.35">
      <c r="P139" s="51" t="b">
        <v>0</v>
      </c>
    </row>
    <row r="140" spans="16:16" x14ac:dyDescent="0.35">
      <c r="P140" s="51" t="b">
        <v>0</v>
      </c>
    </row>
    <row r="141" spans="16:16" x14ac:dyDescent="0.35">
      <c r="P141" s="51" t="b">
        <v>0</v>
      </c>
    </row>
    <row r="142" spans="16:16" x14ac:dyDescent="0.35">
      <c r="P142" s="51" t="b">
        <v>0</v>
      </c>
    </row>
    <row r="143" spans="16:16" x14ac:dyDescent="0.35">
      <c r="P143" s="51" t="b">
        <v>0</v>
      </c>
    </row>
    <row r="144" spans="16:16" x14ac:dyDescent="0.35">
      <c r="P144" s="51" t="b">
        <v>0</v>
      </c>
    </row>
    <row r="145" spans="16:16" x14ac:dyDescent="0.35">
      <c r="P145" s="51" t="b">
        <v>0</v>
      </c>
    </row>
    <row r="146" spans="16:16" x14ac:dyDescent="0.35">
      <c r="P146" s="51" t="b">
        <v>0</v>
      </c>
    </row>
    <row r="147" spans="16:16" x14ac:dyDescent="0.35">
      <c r="P147" s="51" t="b">
        <v>0</v>
      </c>
    </row>
    <row r="148" spans="16:16" x14ac:dyDescent="0.35">
      <c r="P148" s="51" t="b">
        <v>0</v>
      </c>
    </row>
  </sheetData>
  <autoFilter ref="A2:Q148" xr:uid="{8A589392-49FF-4B13-B253-5B96D6BBC8BF}"/>
  <dataValidations count="2">
    <dataValidation type="list" allowBlank="1" showInputMessage="1" showErrorMessage="1" sqref="N149:N1048576 O42:O46 O52:O1048576" xr:uid="{EE39E9ED-D91F-484C-AFE0-0046D6BCD473}">
      <formula1>#REF!</formula1>
    </dataValidation>
    <dataValidation type="list" allowBlank="1" showInputMessage="1" showErrorMessage="1" sqref="J149:J1048576" xr:uid="{B6D97306-D11D-4859-A379-F9341A541811}">
      <formula1>$B$3:$B$382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D688-B07B-418B-A3DA-94124C3683AC}">
  <dimension ref="A1:Q132"/>
  <sheetViews>
    <sheetView topLeftCell="F6" zoomScale="85" zoomScaleNormal="85" workbookViewId="0">
      <selection activeCell="I31" sqref="I31"/>
    </sheetView>
  </sheetViews>
  <sheetFormatPr defaultColWidth="8.81640625" defaultRowHeight="14.5" x14ac:dyDescent="0.35"/>
  <cols>
    <col min="1" max="1" width="8.453125" style="4" customWidth="1"/>
    <col min="2" max="2" width="12.54296875" style="4" bestFit="1" customWidth="1"/>
    <col min="3" max="3" width="10.54296875" style="4" customWidth="1"/>
    <col min="4" max="4" width="9.453125" style="4" customWidth="1"/>
    <col min="5" max="6" width="12.54296875" style="4" customWidth="1"/>
    <col min="7" max="7" width="20.81640625" style="4" bestFit="1" customWidth="1"/>
    <col min="8" max="8" width="19.1796875" style="4" customWidth="1"/>
    <col min="9" max="9" width="41.90625" style="4" customWidth="1"/>
    <col min="10" max="10" width="23" style="4" bestFit="1" customWidth="1"/>
    <col min="11" max="11" width="19.1796875" style="4" customWidth="1"/>
    <col min="12" max="12" width="25.453125" style="4" customWidth="1"/>
    <col min="13" max="13" width="27.1796875" style="4" customWidth="1"/>
    <col min="14" max="14" width="28.453125" style="4" bestFit="1" customWidth="1"/>
    <col min="15" max="15" width="12.81640625" style="4" customWidth="1"/>
    <col min="16" max="17" width="20.81640625" style="47" customWidth="1"/>
    <col min="18" max="16384" width="8.81640625" style="47"/>
  </cols>
  <sheetData>
    <row r="1" spans="1:17" ht="60" customHeight="1" x14ac:dyDescent="0.35">
      <c r="A1" s="24" t="s">
        <v>456</v>
      </c>
      <c r="G1" s="44" t="s">
        <v>37</v>
      </c>
      <c r="P1" s="45" t="s">
        <v>38</v>
      </c>
      <c r="Q1" s="46" t="s">
        <v>39</v>
      </c>
    </row>
    <row r="2" spans="1:17" s="61" customFormat="1" x14ac:dyDescent="0.35">
      <c r="A2" s="64" t="s">
        <v>1</v>
      </c>
      <c r="B2" s="64" t="s">
        <v>41</v>
      </c>
      <c r="C2" s="64" t="s">
        <v>42</v>
      </c>
      <c r="D2" s="64" t="s">
        <v>43</v>
      </c>
      <c r="E2" s="64" t="s">
        <v>44</v>
      </c>
      <c r="F2" s="64" t="s">
        <v>45</v>
      </c>
      <c r="G2" s="64" t="s">
        <v>46</v>
      </c>
      <c r="H2" s="64" t="s">
        <v>47</v>
      </c>
      <c r="I2" s="64" t="s">
        <v>48</v>
      </c>
      <c r="J2" s="64" t="s">
        <v>49</v>
      </c>
      <c r="K2" s="64" t="s">
        <v>50</v>
      </c>
      <c r="L2" s="64" t="s">
        <v>51</v>
      </c>
      <c r="M2" s="64" t="s">
        <v>52</v>
      </c>
      <c r="N2" s="64" t="s">
        <v>53</v>
      </c>
      <c r="O2" s="64" t="s">
        <v>54</v>
      </c>
      <c r="P2" s="78" t="s">
        <v>55</v>
      </c>
    </row>
    <row r="3" spans="1:17" s="61" customFormat="1" x14ac:dyDescent="0.35">
      <c r="A3" s="52" t="s">
        <v>526</v>
      </c>
      <c r="B3" s="104" t="s">
        <v>240</v>
      </c>
      <c r="C3" s="52" t="s">
        <v>74</v>
      </c>
      <c r="D3" s="52">
        <f t="shared" ref="D3:D6" si="0">80/4</f>
        <v>20</v>
      </c>
      <c r="E3" s="52" t="s">
        <v>82</v>
      </c>
      <c r="F3" s="52" t="s">
        <v>86</v>
      </c>
      <c r="G3" s="52">
        <v>3</v>
      </c>
      <c r="H3" s="52">
        <v>2</v>
      </c>
      <c r="I3" s="52" t="s">
        <v>527</v>
      </c>
      <c r="J3" s="52" t="s">
        <v>528</v>
      </c>
      <c r="K3" s="52" t="s">
        <v>529</v>
      </c>
      <c r="L3" s="52"/>
      <c r="M3" s="52"/>
      <c r="N3" s="52"/>
      <c r="O3" s="52"/>
      <c r="P3" s="60" t="b">
        <v>0</v>
      </c>
    </row>
    <row r="4" spans="1:17" s="61" customFormat="1" x14ac:dyDescent="0.35">
      <c r="A4" s="52" t="s">
        <v>526</v>
      </c>
      <c r="B4" s="104" t="s">
        <v>240</v>
      </c>
      <c r="C4" s="52" t="s">
        <v>79</v>
      </c>
      <c r="D4" s="52">
        <f t="shared" si="0"/>
        <v>20</v>
      </c>
      <c r="E4" s="52" t="s">
        <v>82</v>
      </c>
      <c r="F4" s="52" t="s">
        <v>86</v>
      </c>
      <c r="G4" s="52">
        <v>3</v>
      </c>
      <c r="H4" s="52">
        <v>3</v>
      </c>
      <c r="I4" s="52" t="s">
        <v>527</v>
      </c>
      <c r="J4" s="52" t="s">
        <v>528</v>
      </c>
      <c r="K4" s="52" t="s">
        <v>529</v>
      </c>
      <c r="L4" s="52"/>
      <c r="M4" s="52"/>
      <c r="N4" s="52"/>
      <c r="O4" s="52"/>
      <c r="P4" s="60" t="b">
        <v>0</v>
      </c>
    </row>
    <row r="5" spans="1:17" s="61" customFormat="1" x14ac:dyDescent="0.35">
      <c r="A5" s="52" t="s">
        <v>526</v>
      </c>
      <c r="B5" s="104" t="s">
        <v>240</v>
      </c>
      <c r="C5" s="52" t="s">
        <v>81</v>
      </c>
      <c r="D5" s="52">
        <f t="shared" si="0"/>
        <v>20</v>
      </c>
      <c r="E5" s="52" t="s">
        <v>82</v>
      </c>
      <c r="F5" s="52" t="s">
        <v>86</v>
      </c>
      <c r="G5" s="52">
        <v>3</v>
      </c>
      <c r="H5" s="52">
        <v>4</v>
      </c>
      <c r="I5" s="52" t="s">
        <v>527</v>
      </c>
      <c r="J5" s="52" t="s">
        <v>530</v>
      </c>
      <c r="K5" s="52" t="s">
        <v>529</v>
      </c>
      <c r="L5" s="52"/>
      <c r="M5" s="52"/>
      <c r="N5" s="52"/>
      <c r="O5" s="52"/>
      <c r="P5" s="60" t="b">
        <v>0</v>
      </c>
    </row>
    <row r="6" spans="1:17" s="61" customFormat="1" x14ac:dyDescent="0.35">
      <c r="A6" s="52" t="s">
        <v>526</v>
      </c>
      <c r="B6" s="104" t="s">
        <v>240</v>
      </c>
      <c r="C6" s="52" t="s">
        <v>94</v>
      </c>
      <c r="D6" s="52">
        <f t="shared" si="0"/>
        <v>20</v>
      </c>
      <c r="E6" s="52" t="s">
        <v>82</v>
      </c>
      <c r="F6" s="52" t="s">
        <v>86</v>
      </c>
      <c r="G6" s="52">
        <v>3</v>
      </c>
      <c r="H6" s="52">
        <v>5</v>
      </c>
      <c r="I6" s="52" t="s">
        <v>527</v>
      </c>
      <c r="J6" s="52" t="s">
        <v>530</v>
      </c>
      <c r="K6" s="52" t="s">
        <v>529</v>
      </c>
      <c r="L6" s="52"/>
      <c r="M6" s="52"/>
      <c r="N6" s="52"/>
      <c r="O6" s="52"/>
      <c r="P6" s="60" t="b">
        <v>0</v>
      </c>
    </row>
    <row r="7" spans="1:17" s="61" customFormat="1" x14ac:dyDescent="0.35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60" t="b">
        <v>0</v>
      </c>
    </row>
    <row r="8" spans="1:17" s="61" customFormat="1" x14ac:dyDescent="0.35">
      <c r="A8" s="52" t="s">
        <v>526</v>
      </c>
      <c r="B8" s="104" t="s">
        <v>242</v>
      </c>
      <c r="C8" s="52" t="s">
        <v>510</v>
      </c>
      <c r="D8" s="52">
        <v>80</v>
      </c>
      <c r="E8" s="52" t="s">
        <v>82</v>
      </c>
      <c r="F8" s="52" t="s">
        <v>86</v>
      </c>
      <c r="G8" s="52">
        <v>3</v>
      </c>
      <c r="H8" s="52" t="s">
        <v>751</v>
      </c>
      <c r="I8" s="52" t="s">
        <v>522</v>
      </c>
      <c r="J8" s="52" t="s">
        <v>532</v>
      </c>
      <c r="K8" s="52" t="s">
        <v>462</v>
      </c>
      <c r="L8" s="52" t="s">
        <v>469</v>
      </c>
      <c r="M8" s="52" t="s">
        <v>466</v>
      </c>
      <c r="N8" s="52"/>
      <c r="O8" s="52"/>
      <c r="P8" s="60" t="b">
        <v>0</v>
      </c>
    </row>
    <row r="9" spans="1:17" s="61" customFormat="1" x14ac:dyDescent="0.35">
      <c r="A9" s="52" t="s">
        <v>526</v>
      </c>
      <c r="B9" s="104" t="s">
        <v>242</v>
      </c>
      <c r="C9" s="52" t="s">
        <v>510</v>
      </c>
      <c r="D9" s="52">
        <v>80</v>
      </c>
      <c r="E9" s="52" t="s">
        <v>75</v>
      </c>
      <c r="F9" s="52" t="s">
        <v>86</v>
      </c>
      <c r="G9" s="52">
        <v>3</v>
      </c>
      <c r="H9" s="52">
        <v>4</v>
      </c>
      <c r="I9" s="52" t="s">
        <v>522</v>
      </c>
      <c r="J9" s="52" t="s">
        <v>532</v>
      </c>
      <c r="K9" s="52" t="s">
        <v>462</v>
      </c>
      <c r="L9" s="52" t="s">
        <v>469</v>
      </c>
      <c r="M9" s="52" t="s">
        <v>466</v>
      </c>
      <c r="N9" s="52"/>
      <c r="O9" s="52"/>
      <c r="P9" s="60" t="b">
        <v>0</v>
      </c>
    </row>
    <row r="10" spans="1:17" s="61" customFormat="1" x14ac:dyDescent="0.3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60" t="b">
        <v>0</v>
      </c>
    </row>
    <row r="11" spans="1:17" s="61" customFormat="1" ht="29" x14ac:dyDescent="0.35">
      <c r="A11" s="52" t="s">
        <v>533</v>
      </c>
      <c r="B11" s="104" t="s">
        <v>244</v>
      </c>
      <c r="C11" s="52" t="s">
        <v>534</v>
      </c>
      <c r="D11" s="52">
        <v>82</v>
      </c>
      <c r="E11" s="52" t="s">
        <v>91</v>
      </c>
      <c r="F11" s="52" t="s">
        <v>86</v>
      </c>
      <c r="G11" s="52">
        <v>3</v>
      </c>
      <c r="H11" s="52" t="s">
        <v>535</v>
      </c>
      <c r="I11" s="62" t="s">
        <v>536</v>
      </c>
      <c r="J11" s="52" t="s">
        <v>537</v>
      </c>
      <c r="K11" s="52"/>
      <c r="L11" s="52"/>
      <c r="M11" s="52"/>
      <c r="N11" s="52"/>
      <c r="O11" s="52"/>
      <c r="P11" s="60" t="b">
        <v>0</v>
      </c>
    </row>
    <row r="12" spans="1:17" s="61" customFormat="1" x14ac:dyDescent="0.35">
      <c r="A12" s="52"/>
      <c r="B12" s="52"/>
      <c r="C12" s="52"/>
      <c r="D12" s="52"/>
      <c r="E12" s="52"/>
      <c r="F12" s="52"/>
      <c r="G12" s="52"/>
      <c r="H12" s="52"/>
      <c r="I12" s="62"/>
      <c r="J12" s="52"/>
      <c r="K12" s="52"/>
      <c r="L12" s="52"/>
      <c r="M12" s="52"/>
      <c r="N12" s="52"/>
      <c r="O12" s="52"/>
      <c r="P12" s="60" t="b">
        <v>0</v>
      </c>
    </row>
    <row r="13" spans="1:17" s="61" customFormat="1" x14ac:dyDescent="0.35">
      <c r="A13" s="52" t="s">
        <v>533</v>
      </c>
      <c r="B13" s="104" t="s">
        <v>247</v>
      </c>
      <c r="C13" s="52" t="s">
        <v>74</v>
      </c>
      <c r="D13" s="52">
        <v>20</v>
      </c>
      <c r="E13" s="52" t="s">
        <v>75</v>
      </c>
      <c r="F13" s="52" t="s">
        <v>86</v>
      </c>
      <c r="G13" s="52">
        <v>2</v>
      </c>
      <c r="H13" s="52" t="s">
        <v>83</v>
      </c>
      <c r="I13" s="52" t="s">
        <v>464</v>
      </c>
      <c r="J13" s="52" t="s">
        <v>538</v>
      </c>
      <c r="K13" s="52" t="s">
        <v>529</v>
      </c>
      <c r="L13" s="52"/>
      <c r="M13" s="52"/>
      <c r="N13" s="52"/>
      <c r="O13" s="52"/>
      <c r="P13" s="60" t="b">
        <v>0</v>
      </c>
    </row>
    <row r="14" spans="1:17" s="61" customFormat="1" x14ac:dyDescent="0.35">
      <c r="A14" s="52" t="s">
        <v>533</v>
      </c>
      <c r="B14" s="104" t="s">
        <v>247</v>
      </c>
      <c r="C14" s="52" t="s">
        <v>79</v>
      </c>
      <c r="D14" s="52">
        <v>20</v>
      </c>
      <c r="E14" s="52" t="s">
        <v>75</v>
      </c>
      <c r="F14" s="52" t="s">
        <v>92</v>
      </c>
      <c r="G14" s="52">
        <v>2</v>
      </c>
      <c r="H14" s="52" t="s">
        <v>83</v>
      </c>
      <c r="I14" s="52" t="s">
        <v>464</v>
      </c>
      <c r="J14" s="52" t="s">
        <v>538</v>
      </c>
      <c r="K14" s="52" t="s">
        <v>529</v>
      </c>
      <c r="L14" s="52"/>
      <c r="M14" s="52"/>
      <c r="N14" s="52"/>
      <c r="O14" s="52"/>
      <c r="P14" s="60" t="b">
        <v>0</v>
      </c>
    </row>
    <row r="15" spans="1:17" s="61" customFormat="1" x14ac:dyDescent="0.35">
      <c r="A15" s="52" t="s">
        <v>533</v>
      </c>
      <c r="B15" s="104" t="s">
        <v>247</v>
      </c>
      <c r="C15" s="52" t="s">
        <v>81</v>
      </c>
      <c r="D15" s="52">
        <v>21</v>
      </c>
      <c r="E15" s="52" t="s">
        <v>75</v>
      </c>
      <c r="F15" s="52" t="s">
        <v>76</v>
      </c>
      <c r="G15" s="52">
        <v>2</v>
      </c>
      <c r="H15" s="52" t="s">
        <v>83</v>
      </c>
      <c r="I15" s="52" t="s">
        <v>464</v>
      </c>
      <c r="J15" s="52" t="s">
        <v>538</v>
      </c>
      <c r="K15" s="52" t="s">
        <v>529</v>
      </c>
      <c r="L15" s="52"/>
      <c r="M15" s="52"/>
      <c r="N15" s="52"/>
      <c r="O15" s="52"/>
      <c r="P15" s="60" t="b">
        <v>0</v>
      </c>
    </row>
    <row r="16" spans="1:17" s="61" customFormat="1" x14ac:dyDescent="0.35">
      <c r="A16" s="52" t="s">
        <v>533</v>
      </c>
      <c r="B16" s="104" t="s">
        <v>247</v>
      </c>
      <c r="C16" s="52" t="s">
        <v>94</v>
      </c>
      <c r="D16" s="52">
        <v>21</v>
      </c>
      <c r="E16" s="52" t="s">
        <v>75</v>
      </c>
      <c r="F16" s="52" t="s">
        <v>110</v>
      </c>
      <c r="G16" s="52">
        <v>2</v>
      </c>
      <c r="H16" s="52" t="s">
        <v>83</v>
      </c>
      <c r="I16" s="52" t="s">
        <v>464</v>
      </c>
      <c r="J16" s="52" t="s">
        <v>538</v>
      </c>
      <c r="K16" s="52" t="s">
        <v>529</v>
      </c>
      <c r="L16" s="52"/>
      <c r="M16" s="52"/>
      <c r="N16" s="52"/>
      <c r="O16" s="52"/>
      <c r="P16" s="60" t="b">
        <v>0</v>
      </c>
    </row>
    <row r="17" spans="1:16" s="61" customFormat="1" x14ac:dyDescent="0.35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60" t="b">
        <v>0</v>
      </c>
    </row>
    <row r="18" spans="1:16" s="61" customFormat="1" x14ac:dyDescent="0.35">
      <c r="A18" s="52" t="s">
        <v>533</v>
      </c>
      <c r="B18" s="104" t="s">
        <v>249</v>
      </c>
      <c r="C18" s="52" t="s">
        <v>74</v>
      </c>
      <c r="D18" s="52">
        <v>20</v>
      </c>
      <c r="E18" s="52" t="s">
        <v>75</v>
      </c>
      <c r="F18" s="52" t="s">
        <v>76</v>
      </c>
      <c r="G18" s="52">
        <v>2</v>
      </c>
      <c r="H18" s="52" t="s">
        <v>458</v>
      </c>
      <c r="I18" s="52" t="s">
        <v>539</v>
      </c>
      <c r="J18" s="52" t="s">
        <v>540</v>
      </c>
      <c r="K18" s="52" t="s">
        <v>541</v>
      </c>
      <c r="L18" s="4"/>
      <c r="M18" s="43" t="s">
        <v>543</v>
      </c>
      <c r="N18" s="52"/>
      <c r="O18" s="52"/>
      <c r="P18" s="60" t="b">
        <v>0</v>
      </c>
    </row>
    <row r="19" spans="1:16" s="61" customFormat="1" x14ac:dyDescent="0.35">
      <c r="A19" s="52" t="s">
        <v>533</v>
      </c>
      <c r="B19" s="104" t="s">
        <v>249</v>
      </c>
      <c r="C19" s="52" t="s">
        <v>79</v>
      </c>
      <c r="D19" s="52">
        <v>21</v>
      </c>
      <c r="E19" s="52" t="s">
        <v>75</v>
      </c>
      <c r="F19" s="52" t="s">
        <v>110</v>
      </c>
      <c r="G19" s="52">
        <v>2</v>
      </c>
      <c r="H19" s="52" t="s">
        <v>458</v>
      </c>
      <c r="I19" s="52" t="s">
        <v>539</v>
      </c>
      <c r="J19" s="52" t="s">
        <v>540</v>
      </c>
      <c r="K19" s="52" t="s">
        <v>541</v>
      </c>
      <c r="L19" s="4"/>
      <c r="M19" s="43" t="s">
        <v>543</v>
      </c>
      <c r="N19" s="52"/>
      <c r="O19" s="52"/>
      <c r="P19" s="60" t="b">
        <v>0</v>
      </c>
    </row>
    <row r="20" spans="1:16" s="61" customFormat="1" x14ac:dyDescent="0.35">
      <c r="A20" s="52" t="s">
        <v>533</v>
      </c>
      <c r="B20" s="104" t="s">
        <v>249</v>
      </c>
      <c r="C20" s="52" t="s">
        <v>81</v>
      </c>
      <c r="D20" s="52">
        <v>20</v>
      </c>
      <c r="E20" s="52" t="s">
        <v>75</v>
      </c>
      <c r="F20" s="52" t="s">
        <v>86</v>
      </c>
      <c r="G20" s="52">
        <v>2</v>
      </c>
      <c r="H20" s="52" t="s">
        <v>458</v>
      </c>
      <c r="I20" s="52" t="s">
        <v>539</v>
      </c>
      <c r="J20" s="52" t="s">
        <v>540</v>
      </c>
      <c r="K20" s="52" t="s">
        <v>541</v>
      </c>
      <c r="L20" s="4"/>
      <c r="M20" s="43" t="s">
        <v>543</v>
      </c>
      <c r="N20" s="52"/>
      <c r="O20" s="52"/>
      <c r="P20" s="60" t="b">
        <v>0</v>
      </c>
    </row>
    <row r="21" spans="1:16" s="61" customFormat="1" x14ac:dyDescent="0.35">
      <c r="A21" s="52" t="s">
        <v>533</v>
      </c>
      <c r="B21" s="104" t="s">
        <v>249</v>
      </c>
      <c r="C21" s="52" t="s">
        <v>94</v>
      </c>
      <c r="D21" s="52">
        <v>21</v>
      </c>
      <c r="E21" s="52" t="s">
        <v>75</v>
      </c>
      <c r="F21" s="52" t="s">
        <v>92</v>
      </c>
      <c r="G21" s="52">
        <v>2</v>
      </c>
      <c r="H21" s="52" t="s">
        <v>458</v>
      </c>
      <c r="I21" s="52" t="s">
        <v>539</v>
      </c>
      <c r="J21" s="52" t="s">
        <v>540</v>
      </c>
      <c r="K21" s="52" t="s">
        <v>541</v>
      </c>
      <c r="L21" s="4"/>
      <c r="M21" s="43" t="s">
        <v>543</v>
      </c>
      <c r="N21" s="52"/>
      <c r="O21" s="52"/>
      <c r="P21" s="60" t="b">
        <v>0</v>
      </c>
    </row>
    <row r="22" spans="1:16" s="61" customFormat="1" x14ac:dyDescent="0.35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60" t="b">
        <v>0</v>
      </c>
    </row>
    <row r="23" spans="1:16" s="61" customFormat="1" x14ac:dyDescent="0.35">
      <c r="A23" s="52" t="s">
        <v>533</v>
      </c>
      <c r="B23" s="104" t="s">
        <v>250</v>
      </c>
      <c r="C23" s="52" t="s">
        <v>467</v>
      </c>
      <c r="D23" s="52">
        <v>40</v>
      </c>
      <c r="E23" s="52" t="s">
        <v>88</v>
      </c>
      <c r="F23" s="52" t="s">
        <v>86</v>
      </c>
      <c r="G23" s="52">
        <v>2</v>
      </c>
      <c r="H23" s="52" t="s">
        <v>544</v>
      </c>
      <c r="I23" s="52" t="s">
        <v>545</v>
      </c>
      <c r="J23" s="52" t="s">
        <v>532</v>
      </c>
      <c r="K23" s="52" t="s">
        <v>546</v>
      </c>
      <c r="L23" s="52"/>
      <c r="M23" s="52"/>
      <c r="N23" s="52"/>
      <c r="O23" s="52"/>
      <c r="P23" s="60" t="b">
        <v>0</v>
      </c>
    </row>
    <row r="24" spans="1:16" s="61" customFormat="1" x14ac:dyDescent="0.35">
      <c r="A24" s="52" t="s">
        <v>533</v>
      </c>
      <c r="B24" s="104" t="s">
        <v>250</v>
      </c>
      <c r="C24" s="52" t="s">
        <v>547</v>
      </c>
      <c r="D24" s="52">
        <v>42</v>
      </c>
      <c r="E24" s="52" t="s">
        <v>88</v>
      </c>
      <c r="F24" s="52" t="s">
        <v>92</v>
      </c>
      <c r="G24" s="52">
        <v>2</v>
      </c>
      <c r="H24" s="52" t="s">
        <v>544</v>
      </c>
      <c r="I24" s="52" t="s">
        <v>545</v>
      </c>
      <c r="J24" s="52" t="s">
        <v>532</v>
      </c>
      <c r="K24" s="52" t="s">
        <v>546</v>
      </c>
      <c r="L24" s="52"/>
      <c r="M24" s="52"/>
      <c r="N24" s="52"/>
      <c r="O24" s="52"/>
      <c r="P24" s="60" t="b">
        <v>0</v>
      </c>
    </row>
    <row r="25" spans="1:16" s="61" customFormat="1" x14ac:dyDescent="0.35">
      <c r="A25" s="52" t="s">
        <v>533</v>
      </c>
      <c r="B25" s="106" t="s">
        <v>250</v>
      </c>
      <c r="C25" s="52" t="s">
        <v>74</v>
      </c>
      <c r="D25" s="52">
        <v>20</v>
      </c>
      <c r="E25" s="52" t="s">
        <v>88</v>
      </c>
      <c r="F25" s="52" t="s">
        <v>86</v>
      </c>
      <c r="G25" s="52">
        <v>2</v>
      </c>
      <c r="H25" s="52" t="s">
        <v>548</v>
      </c>
      <c r="I25" s="66" t="s">
        <v>549</v>
      </c>
      <c r="J25" s="52" t="s">
        <v>550</v>
      </c>
      <c r="K25" s="52" t="s">
        <v>529</v>
      </c>
      <c r="L25" s="52"/>
      <c r="M25" s="52"/>
      <c r="N25" s="52"/>
      <c r="O25" s="52"/>
      <c r="P25" s="60" t="b">
        <v>0</v>
      </c>
    </row>
    <row r="26" spans="1:16" s="61" customFormat="1" x14ac:dyDescent="0.35">
      <c r="A26" s="52" t="s">
        <v>533</v>
      </c>
      <c r="B26" s="106" t="s">
        <v>250</v>
      </c>
      <c r="C26" s="52" t="s">
        <v>79</v>
      </c>
      <c r="D26" s="52">
        <v>21</v>
      </c>
      <c r="E26" s="52" t="s">
        <v>88</v>
      </c>
      <c r="F26" s="52" t="s">
        <v>92</v>
      </c>
      <c r="G26" s="52">
        <v>2</v>
      </c>
      <c r="H26" s="52" t="s">
        <v>548</v>
      </c>
      <c r="I26" s="66" t="s">
        <v>549</v>
      </c>
      <c r="J26" s="52" t="s">
        <v>550</v>
      </c>
      <c r="K26" s="52" t="s">
        <v>529</v>
      </c>
      <c r="L26" s="52"/>
      <c r="M26" s="52"/>
      <c r="N26" s="52"/>
      <c r="O26" s="52"/>
      <c r="P26" s="60" t="b">
        <v>0</v>
      </c>
    </row>
    <row r="27" spans="1:16" s="61" customFormat="1" x14ac:dyDescent="0.35">
      <c r="A27" s="52" t="s">
        <v>533</v>
      </c>
      <c r="B27" s="104" t="s">
        <v>250</v>
      </c>
      <c r="C27" s="52" t="s">
        <v>81</v>
      </c>
      <c r="D27" s="52">
        <v>20</v>
      </c>
      <c r="E27" s="52" t="s">
        <v>88</v>
      </c>
      <c r="F27" s="52" t="s">
        <v>76</v>
      </c>
      <c r="G27" s="52">
        <v>2</v>
      </c>
      <c r="H27" s="52" t="s">
        <v>548</v>
      </c>
      <c r="I27" s="63" t="s">
        <v>549</v>
      </c>
      <c r="J27" s="52" t="s">
        <v>550</v>
      </c>
      <c r="K27" s="52" t="s">
        <v>529</v>
      </c>
      <c r="L27" s="52"/>
      <c r="M27" s="52"/>
      <c r="N27" s="52"/>
      <c r="O27" s="52"/>
      <c r="P27" s="60" t="b">
        <v>0</v>
      </c>
    </row>
    <row r="28" spans="1:16" s="61" customFormat="1" x14ac:dyDescent="0.35">
      <c r="A28" s="52" t="s">
        <v>533</v>
      </c>
      <c r="B28" s="104" t="s">
        <v>250</v>
      </c>
      <c r="C28" s="52" t="s">
        <v>94</v>
      </c>
      <c r="D28" s="52">
        <v>21</v>
      </c>
      <c r="E28" s="52" t="s">
        <v>88</v>
      </c>
      <c r="F28" s="52" t="s">
        <v>110</v>
      </c>
      <c r="G28" s="52">
        <v>2</v>
      </c>
      <c r="H28" s="52" t="s">
        <v>548</v>
      </c>
      <c r="I28" s="63" t="s">
        <v>549</v>
      </c>
      <c r="J28" s="52" t="s">
        <v>550</v>
      </c>
      <c r="K28" s="52" t="s">
        <v>529</v>
      </c>
      <c r="L28" s="52"/>
      <c r="M28" s="52"/>
      <c r="N28" s="52"/>
      <c r="O28" s="52"/>
      <c r="P28" s="60" t="b">
        <v>0</v>
      </c>
    </row>
    <row r="29" spans="1:16" s="61" customFormat="1" x14ac:dyDescent="0.35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60" t="b">
        <v>0</v>
      </c>
    </row>
    <row r="30" spans="1:16" s="61" customFormat="1" x14ac:dyDescent="0.35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60" t="b">
        <v>0</v>
      </c>
    </row>
    <row r="31" spans="1:16" s="61" customFormat="1" x14ac:dyDescent="0.3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60" t="b">
        <v>0</v>
      </c>
    </row>
    <row r="32" spans="1:16" s="61" customFormat="1" x14ac:dyDescent="0.3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60" t="b">
        <v>0</v>
      </c>
    </row>
    <row r="33" spans="1:16" s="61" customFormat="1" x14ac:dyDescent="0.3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60" t="b">
        <v>0</v>
      </c>
    </row>
    <row r="34" spans="1:16" x14ac:dyDescent="0.35">
      <c r="P34" s="51" t="b">
        <v>0</v>
      </c>
    </row>
    <row r="35" spans="1:16" x14ac:dyDescent="0.35">
      <c r="P35" s="51" t="b">
        <v>0</v>
      </c>
    </row>
    <row r="36" spans="1:16" x14ac:dyDescent="0.35">
      <c r="P36" s="51" t="b">
        <v>0</v>
      </c>
    </row>
    <row r="37" spans="1:16" x14ac:dyDescent="0.35">
      <c r="P37" s="51" t="b">
        <v>0</v>
      </c>
    </row>
    <row r="38" spans="1:16" x14ac:dyDescent="0.35">
      <c r="P38" s="51" t="b">
        <v>0</v>
      </c>
    </row>
    <row r="39" spans="1:16" x14ac:dyDescent="0.35">
      <c r="P39" s="51" t="b">
        <v>0</v>
      </c>
    </row>
    <row r="40" spans="1:16" x14ac:dyDescent="0.35">
      <c r="P40" s="51" t="b">
        <v>0</v>
      </c>
    </row>
    <row r="41" spans="1:16" x14ac:dyDescent="0.35">
      <c r="F41" s="53"/>
      <c r="I41" s="3"/>
      <c r="P41" s="51" t="b">
        <v>0</v>
      </c>
    </row>
    <row r="42" spans="1:16" x14ac:dyDescent="0.35">
      <c r="I42" s="3"/>
      <c r="P42" s="51" t="b">
        <v>0</v>
      </c>
    </row>
    <row r="43" spans="1:16" x14ac:dyDescent="0.35">
      <c r="F43" s="53"/>
      <c r="I43" s="3"/>
      <c r="P43" s="51" t="b">
        <v>0</v>
      </c>
    </row>
    <row r="44" spans="1:16" x14ac:dyDescent="0.35">
      <c r="I44" s="3"/>
      <c r="P44" s="51" t="b">
        <v>0</v>
      </c>
    </row>
    <row r="45" spans="1:16" x14ac:dyDescent="0.35">
      <c r="F45" s="53"/>
      <c r="I45" s="3"/>
      <c r="P45" s="51" t="b">
        <v>0</v>
      </c>
    </row>
    <row r="46" spans="1:16" x14ac:dyDescent="0.35">
      <c r="I46" s="3"/>
      <c r="P46" s="51" t="b">
        <v>0</v>
      </c>
    </row>
    <row r="47" spans="1:16" x14ac:dyDescent="0.35">
      <c r="F47" s="53"/>
      <c r="I47" s="3"/>
      <c r="P47" s="51" t="b">
        <v>0</v>
      </c>
    </row>
    <row r="48" spans="1:16" x14ac:dyDescent="0.35">
      <c r="I48" s="3"/>
      <c r="P48" s="51" t="b">
        <v>0</v>
      </c>
    </row>
    <row r="49" spans="6:16" x14ac:dyDescent="0.35">
      <c r="F49" s="53"/>
      <c r="I49" s="3"/>
      <c r="P49" s="51" t="b">
        <v>0</v>
      </c>
    </row>
    <row r="50" spans="6:16" x14ac:dyDescent="0.35">
      <c r="I50" s="3"/>
      <c r="P50" s="51" t="b">
        <v>0</v>
      </c>
    </row>
    <row r="51" spans="6:16" x14ac:dyDescent="0.35">
      <c r="P51" s="51" t="b">
        <v>0</v>
      </c>
    </row>
    <row r="52" spans="6:16" x14ac:dyDescent="0.35">
      <c r="P52" s="51" t="b">
        <v>0</v>
      </c>
    </row>
    <row r="53" spans="6:16" x14ac:dyDescent="0.35">
      <c r="P53" s="51" t="b">
        <v>0</v>
      </c>
    </row>
    <row r="54" spans="6:16" x14ac:dyDescent="0.35">
      <c r="P54" s="51" t="b">
        <v>0</v>
      </c>
    </row>
    <row r="55" spans="6:16" x14ac:dyDescent="0.35">
      <c r="P55" s="51" t="b">
        <v>0</v>
      </c>
    </row>
    <row r="56" spans="6:16" x14ac:dyDescent="0.35">
      <c r="P56" s="51" t="b">
        <v>0</v>
      </c>
    </row>
    <row r="57" spans="6:16" x14ac:dyDescent="0.35">
      <c r="P57" s="51" t="b">
        <v>0</v>
      </c>
    </row>
    <row r="58" spans="6:16" x14ac:dyDescent="0.35">
      <c r="P58" s="51" t="b">
        <v>0</v>
      </c>
    </row>
    <row r="59" spans="6:16" x14ac:dyDescent="0.35">
      <c r="P59" s="51" t="b">
        <v>0</v>
      </c>
    </row>
    <row r="60" spans="6:16" x14ac:dyDescent="0.35">
      <c r="P60" s="51" t="b">
        <v>0</v>
      </c>
    </row>
    <row r="61" spans="6:16" x14ac:dyDescent="0.35">
      <c r="P61" s="51" t="b">
        <v>0</v>
      </c>
    </row>
    <row r="62" spans="6:16" x14ac:dyDescent="0.35">
      <c r="P62" s="51" t="b">
        <v>0</v>
      </c>
    </row>
    <row r="63" spans="6:16" x14ac:dyDescent="0.35">
      <c r="P63" s="51" t="b">
        <v>0</v>
      </c>
    </row>
    <row r="64" spans="6:16" x14ac:dyDescent="0.35">
      <c r="P64" s="51" t="b">
        <v>0</v>
      </c>
    </row>
    <row r="65" spans="16:16" x14ac:dyDescent="0.35">
      <c r="P65" s="51" t="b">
        <v>0</v>
      </c>
    </row>
    <row r="66" spans="16:16" x14ac:dyDescent="0.35">
      <c r="P66" s="51" t="b">
        <v>0</v>
      </c>
    </row>
    <row r="67" spans="16:16" x14ac:dyDescent="0.35">
      <c r="P67" s="51" t="b">
        <v>0</v>
      </c>
    </row>
    <row r="68" spans="16:16" x14ac:dyDescent="0.35">
      <c r="P68" s="51" t="b">
        <v>0</v>
      </c>
    </row>
    <row r="69" spans="16:16" x14ac:dyDescent="0.35">
      <c r="P69" s="51" t="b">
        <v>0</v>
      </c>
    </row>
    <row r="70" spans="16:16" x14ac:dyDescent="0.35">
      <c r="P70" s="51" t="b">
        <v>0</v>
      </c>
    </row>
    <row r="71" spans="16:16" x14ac:dyDescent="0.35">
      <c r="P71" s="51" t="b">
        <v>0</v>
      </c>
    </row>
    <row r="72" spans="16:16" x14ac:dyDescent="0.35">
      <c r="P72" s="51" t="b">
        <v>0</v>
      </c>
    </row>
    <row r="73" spans="16:16" x14ac:dyDescent="0.35">
      <c r="P73" s="51" t="b">
        <v>0</v>
      </c>
    </row>
    <row r="74" spans="16:16" x14ac:dyDescent="0.35">
      <c r="P74" s="51" t="b">
        <v>0</v>
      </c>
    </row>
    <row r="75" spans="16:16" x14ac:dyDescent="0.35">
      <c r="P75" s="51" t="b">
        <v>0</v>
      </c>
    </row>
    <row r="76" spans="16:16" x14ac:dyDescent="0.35">
      <c r="P76" s="51" t="b">
        <v>0</v>
      </c>
    </row>
    <row r="77" spans="16:16" x14ac:dyDescent="0.35">
      <c r="P77" s="51" t="b">
        <v>0</v>
      </c>
    </row>
    <row r="78" spans="16:16" x14ac:dyDescent="0.35">
      <c r="P78" s="51" t="b">
        <v>0</v>
      </c>
    </row>
    <row r="79" spans="16:16" x14ac:dyDescent="0.35">
      <c r="P79" s="51" t="b">
        <v>0</v>
      </c>
    </row>
    <row r="80" spans="16:16" x14ac:dyDescent="0.35">
      <c r="P80" s="51" t="b">
        <v>0</v>
      </c>
    </row>
    <row r="81" spans="16:16" x14ac:dyDescent="0.35">
      <c r="P81" s="51" t="b">
        <v>0</v>
      </c>
    </row>
    <row r="82" spans="16:16" x14ac:dyDescent="0.35">
      <c r="P82" s="51" t="b">
        <v>0</v>
      </c>
    </row>
    <row r="83" spans="16:16" x14ac:dyDescent="0.35">
      <c r="P83" s="51" t="b">
        <v>0</v>
      </c>
    </row>
    <row r="84" spans="16:16" x14ac:dyDescent="0.35">
      <c r="P84" s="51" t="b">
        <v>0</v>
      </c>
    </row>
    <row r="85" spans="16:16" x14ac:dyDescent="0.35">
      <c r="P85" s="51" t="b">
        <v>0</v>
      </c>
    </row>
    <row r="86" spans="16:16" x14ac:dyDescent="0.35">
      <c r="P86" s="51" t="b">
        <v>0</v>
      </c>
    </row>
    <row r="87" spans="16:16" x14ac:dyDescent="0.35">
      <c r="P87" s="51" t="b">
        <v>0</v>
      </c>
    </row>
    <row r="88" spans="16:16" x14ac:dyDescent="0.35">
      <c r="P88" s="51" t="b">
        <v>0</v>
      </c>
    </row>
    <row r="89" spans="16:16" x14ac:dyDescent="0.35">
      <c r="P89" s="51" t="b">
        <v>0</v>
      </c>
    </row>
    <row r="90" spans="16:16" x14ac:dyDescent="0.35">
      <c r="P90" s="51" t="b">
        <v>0</v>
      </c>
    </row>
    <row r="91" spans="16:16" x14ac:dyDescent="0.35">
      <c r="P91" s="51" t="b">
        <v>0</v>
      </c>
    </row>
    <row r="92" spans="16:16" x14ac:dyDescent="0.35">
      <c r="P92" s="51" t="b">
        <v>0</v>
      </c>
    </row>
    <row r="93" spans="16:16" x14ac:dyDescent="0.35">
      <c r="P93" s="51" t="b">
        <v>0</v>
      </c>
    </row>
    <row r="94" spans="16:16" x14ac:dyDescent="0.35">
      <c r="P94" s="51" t="b">
        <v>0</v>
      </c>
    </row>
    <row r="95" spans="16:16" x14ac:dyDescent="0.35">
      <c r="P95" s="51" t="b">
        <v>0</v>
      </c>
    </row>
    <row r="96" spans="16:16" x14ac:dyDescent="0.35">
      <c r="P96" s="51" t="b">
        <v>0</v>
      </c>
    </row>
    <row r="97" spans="16:16" x14ac:dyDescent="0.35">
      <c r="P97" s="51" t="b">
        <v>0</v>
      </c>
    </row>
    <row r="98" spans="16:16" x14ac:dyDescent="0.35">
      <c r="P98" s="51" t="b">
        <v>0</v>
      </c>
    </row>
    <row r="99" spans="16:16" x14ac:dyDescent="0.35">
      <c r="P99" s="51" t="b">
        <v>0</v>
      </c>
    </row>
    <row r="100" spans="16:16" x14ac:dyDescent="0.35">
      <c r="P100" s="51" t="b">
        <v>0</v>
      </c>
    </row>
    <row r="101" spans="16:16" x14ac:dyDescent="0.35">
      <c r="P101" s="51" t="b">
        <v>0</v>
      </c>
    </row>
    <row r="102" spans="16:16" x14ac:dyDescent="0.35">
      <c r="P102" s="51" t="b">
        <v>0</v>
      </c>
    </row>
    <row r="103" spans="16:16" x14ac:dyDescent="0.35">
      <c r="P103" s="51" t="b">
        <v>0</v>
      </c>
    </row>
    <row r="104" spans="16:16" x14ac:dyDescent="0.35">
      <c r="P104" s="51" t="b">
        <v>0</v>
      </c>
    </row>
    <row r="105" spans="16:16" x14ac:dyDescent="0.35">
      <c r="P105" s="51" t="b">
        <v>0</v>
      </c>
    </row>
    <row r="106" spans="16:16" x14ac:dyDescent="0.35">
      <c r="P106" s="51" t="b">
        <v>0</v>
      </c>
    </row>
    <row r="107" spans="16:16" x14ac:dyDescent="0.35">
      <c r="P107" s="51" t="b">
        <v>0</v>
      </c>
    </row>
    <row r="108" spans="16:16" x14ac:dyDescent="0.35">
      <c r="P108" s="51" t="b">
        <v>0</v>
      </c>
    </row>
    <row r="109" spans="16:16" x14ac:dyDescent="0.35">
      <c r="P109" s="51" t="b">
        <v>0</v>
      </c>
    </row>
    <row r="110" spans="16:16" x14ac:dyDescent="0.35">
      <c r="P110" s="51" t="b">
        <v>0</v>
      </c>
    </row>
    <row r="111" spans="16:16" x14ac:dyDescent="0.35">
      <c r="P111" s="51" t="b">
        <v>0</v>
      </c>
    </row>
    <row r="112" spans="16:16" x14ac:dyDescent="0.35">
      <c r="P112" s="51" t="b">
        <v>0</v>
      </c>
    </row>
    <row r="113" spans="16:16" x14ac:dyDescent="0.35">
      <c r="P113" s="51" t="b">
        <v>0</v>
      </c>
    </row>
    <row r="114" spans="16:16" x14ac:dyDescent="0.35">
      <c r="P114" s="51" t="b">
        <v>0</v>
      </c>
    </row>
    <row r="115" spans="16:16" x14ac:dyDescent="0.35">
      <c r="P115" s="51" t="b">
        <v>0</v>
      </c>
    </row>
    <row r="116" spans="16:16" x14ac:dyDescent="0.35">
      <c r="P116" s="51" t="b">
        <v>0</v>
      </c>
    </row>
    <row r="117" spans="16:16" x14ac:dyDescent="0.35">
      <c r="P117" s="51" t="b">
        <v>0</v>
      </c>
    </row>
    <row r="118" spans="16:16" x14ac:dyDescent="0.35">
      <c r="P118" s="51" t="b">
        <v>0</v>
      </c>
    </row>
    <row r="119" spans="16:16" x14ac:dyDescent="0.35">
      <c r="P119" s="51" t="b">
        <v>0</v>
      </c>
    </row>
    <row r="120" spans="16:16" x14ac:dyDescent="0.35">
      <c r="P120" s="51" t="b">
        <v>0</v>
      </c>
    </row>
    <row r="121" spans="16:16" x14ac:dyDescent="0.35">
      <c r="P121" s="51" t="b">
        <v>0</v>
      </c>
    </row>
    <row r="122" spans="16:16" x14ac:dyDescent="0.35">
      <c r="P122" s="51" t="b">
        <v>0</v>
      </c>
    </row>
    <row r="123" spans="16:16" x14ac:dyDescent="0.35">
      <c r="P123" s="51" t="b">
        <v>0</v>
      </c>
    </row>
    <row r="124" spans="16:16" x14ac:dyDescent="0.35">
      <c r="P124" s="51" t="b">
        <v>0</v>
      </c>
    </row>
    <row r="125" spans="16:16" x14ac:dyDescent="0.35">
      <c r="P125" s="51" t="b">
        <v>0</v>
      </c>
    </row>
    <row r="126" spans="16:16" x14ac:dyDescent="0.35">
      <c r="P126" s="51" t="b">
        <v>0</v>
      </c>
    </row>
    <row r="127" spans="16:16" x14ac:dyDescent="0.35">
      <c r="P127" s="51" t="b">
        <v>0</v>
      </c>
    </row>
    <row r="128" spans="16:16" x14ac:dyDescent="0.35">
      <c r="P128" s="51" t="b">
        <v>0</v>
      </c>
    </row>
    <row r="129" spans="16:16" x14ac:dyDescent="0.35">
      <c r="P129" s="51" t="b">
        <v>0</v>
      </c>
    </row>
    <row r="130" spans="16:16" x14ac:dyDescent="0.35">
      <c r="P130" s="51" t="b">
        <v>0</v>
      </c>
    </row>
    <row r="131" spans="16:16" x14ac:dyDescent="0.35">
      <c r="P131" s="51" t="b">
        <v>0</v>
      </c>
    </row>
    <row r="132" spans="16:16" x14ac:dyDescent="0.35">
      <c r="P132" s="51" t="b">
        <v>0</v>
      </c>
    </row>
  </sheetData>
  <autoFilter ref="A2:Q132" xr:uid="{185BD688-B07B-418B-A3DA-94124C3683AC}"/>
  <dataValidations count="2">
    <dataValidation type="list" allowBlank="1" showInputMessage="1" showErrorMessage="1" sqref="N133:N1048576 O36:O1048576 O26:O30" xr:uid="{A5945ADD-B23E-4476-B5D3-5044FDD339A7}">
      <formula1>#REF!</formula1>
    </dataValidation>
    <dataValidation type="list" allowBlank="1" showInputMessage="1" showErrorMessage="1" sqref="J133:J1048576" xr:uid="{A58CBB17-7F0D-4B34-9BE8-8A95045727F0}">
      <formula1>$B$3:$B$366</formula1>
    </dataValidation>
  </dataValidation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FF3D0-B4CB-4D74-BBA3-338EDBC090ED}">
  <dimension ref="A1:Q112"/>
  <sheetViews>
    <sheetView topLeftCell="A8" zoomScale="80" zoomScaleNormal="80" workbookViewId="0">
      <selection activeCell="I111" sqref="I111"/>
    </sheetView>
  </sheetViews>
  <sheetFormatPr defaultColWidth="8.81640625" defaultRowHeight="14.5" x14ac:dyDescent="0.35"/>
  <cols>
    <col min="1" max="1" width="10.81640625" style="3" customWidth="1"/>
    <col min="2" max="2" width="12.54296875" style="4" bestFit="1" customWidth="1"/>
    <col min="3" max="6" width="12.54296875" style="3" customWidth="1"/>
    <col min="7" max="7" width="18.54296875" style="3" customWidth="1"/>
    <col min="8" max="8" width="19.54296875" style="4" customWidth="1"/>
    <col min="9" max="9" width="63.81640625" style="4" bestFit="1" customWidth="1"/>
    <col min="10" max="10" width="24.81640625" style="3" bestFit="1" customWidth="1"/>
    <col min="11" max="11" width="26.81640625" style="3" bestFit="1" customWidth="1"/>
    <col min="12" max="12" width="20.81640625" style="3" customWidth="1"/>
    <col min="13" max="13" width="17.54296875" style="3" customWidth="1"/>
    <col min="14" max="14" width="20.81640625" style="3" customWidth="1"/>
    <col min="15" max="15" width="12.81640625" style="3" customWidth="1"/>
    <col min="16" max="17" width="20.81640625" style="21" customWidth="1"/>
    <col min="18" max="16384" width="8.81640625" style="21"/>
  </cols>
  <sheetData>
    <row r="1" spans="1:17" ht="60" customHeight="1" x14ac:dyDescent="0.35">
      <c r="A1" s="24" t="s">
        <v>456</v>
      </c>
      <c r="G1" s="79" t="s">
        <v>37</v>
      </c>
      <c r="I1" s="80">
        <f>5/13</f>
        <v>0.38461538461538464</v>
      </c>
      <c r="J1" s="81">
        <f>3/4</f>
        <v>0.75</v>
      </c>
      <c r="P1" s="82" t="s">
        <v>38</v>
      </c>
      <c r="Q1" s="83" t="s">
        <v>39</v>
      </c>
    </row>
    <row r="2" spans="1:17" x14ac:dyDescent="0.35">
      <c r="A2" s="48" t="s">
        <v>40</v>
      </c>
      <c r="B2" s="48" t="s">
        <v>41</v>
      </c>
      <c r="C2" s="48" t="s">
        <v>42</v>
      </c>
      <c r="D2" s="48" t="s">
        <v>43</v>
      </c>
      <c r="E2" s="48" t="s">
        <v>44</v>
      </c>
      <c r="F2" s="48" t="s">
        <v>45</v>
      </c>
      <c r="G2" s="48" t="s">
        <v>46</v>
      </c>
      <c r="H2" s="48" t="s">
        <v>47</v>
      </c>
      <c r="I2" s="48" t="s">
        <v>48</v>
      </c>
      <c r="J2" s="48" t="s">
        <v>49</v>
      </c>
      <c r="K2" s="48" t="s">
        <v>50</v>
      </c>
      <c r="L2" s="48" t="s">
        <v>51</v>
      </c>
      <c r="M2" s="48" t="s">
        <v>52</v>
      </c>
      <c r="N2" s="48" t="s">
        <v>53</v>
      </c>
      <c r="O2" s="48" t="s">
        <v>54</v>
      </c>
      <c r="P2" s="49" t="s">
        <v>55</v>
      </c>
    </row>
    <row r="3" spans="1:17" x14ac:dyDescent="0.35">
      <c r="A3" s="4" t="s">
        <v>581</v>
      </c>
      <c r="B3" s="100" t="s">
        <v>284</v>
      </c>
      <c r="C3" s="4" t="s">
        <v>74</v>
      </c>
      <c r="D3" s="4">
        <v>21</v>
      </c>
      <c r="E3" s="4" t="s">
        <v>91</v>
      </c>
      <c r="F3" s="4" t="s">
        <v>86</v>
      </c>
      <c r="G3" s="4">
        <v>3</v>
      </c>
      <c r="H3" s="85">
        <v>5</v>
      </c>
      <c r="I3" s="4" t="s">
        <v>582</v>
      </c>
      <c r="J3" s="4" t="s">
        <v>583</v>
      </c>
      <c r="K3" s="4" t="s">
        <v>584</v>
      </c>
      <c r="L3" s="4" t="s">
        <v>585</v>
      </c>
      <c r="M3" s="4"/>
      <c r="N3" s="4"/>
      <c r="O3" s="4"/>
      <c r="P3" s="84" t="b">
        <v>0</v>
      </c>
    </row>
    <row r="4" spans="1:17" x14ac:dyDescent="0.35">
      <c r="A4" s="85" t="s">
        <v>581</v>
      </c>
      <c r="B4" s="112" t="s">
        <v>284</v>
      </c>
      <c r="C4" s="85" t="s">
        <v>79</v>
      </c>
      <c r="D4" s="85">
        <v>21</v>
      </c>
      <c r="E4" s="85" t="s">
        <v>91</v>
      </c>
      <c r="F4" s="85" t="s">
        <v>86</v>
      </c>
      <c r="G4" s="85">
        <v>4</v>
      </c>
      <c r="H4" s="85">
        <v>5</v>
      </c>
      <c r="I4" s="85" t="s">
        <v>693</v>
      </c>
      <c r="J4" s="85" t="s">
        <v>694</v>
      </c>
      <c r="K4" s="85" t="s">
        <v>648</v>
      </c>
      <c r="L4" s="4"/>
      <c r="M4" s="4"/>
      <c r="N4" s="4"/>
      <c r="O4" s="4"/>
      <c r="P4" s="84" t="b">
        <v>0</v>
      </c>
    </row>
    <row r="5" spans="1:17" x14ac:dyDescent="0.35">
      <c r="A5" s="4" t="s">
        <v>581</v>
      </c>
      <c r="B5" s="100" t="s">
        <v>284</v>
      </c>
      <c r="C5" s="4" t="s">
        <v>79</v>
      </c>
      <c r="D5" s="4">
        <v>22</v>
      </c>
      <c r="E5" s="4" t="s">
        <v>82</v>
      </c>
      <c r="F5" s="4" t="s">
        <v>86</v>
      </c>
      <c r="G5" s="4">
        <v>3</v>
      </c>
      <c r="H5" s="85">
        <v>5</v>
      </c>
      <c r="I5" s="4" t="s">
        <v>582</v>
      </c>
      <c r="J5" s="4" t="s">
        <v>583</v>
      </c>
      <c r="K5" s="4" t="s">
        <v>584</v>
      </c>
      <c r="L5" s="4" t="s">
        <v>585</v>
      </c>
      <c r="M5" s="4"/>
      <c r="N5" s="4"/>
      <c r="O5" s="4"/>
      <c r="P5" s="84" t="b">
        <v>0</v>
      </c>
    </row>
    <row r="6" spans="1:17" x14ac:dyDescent="0.35">
      <c r="A6" s="4" t="s">
        <v>581</v>
      </c>
      <c r="B6" s="100" t="s">
        <v>284</v>
      </c>
      <c r="C6" s="4" t="s">
        <v>81</v>
      </c>
      <c r="D6" s="4">
        <v>22</v>
      </c>
      <c r="E6" s="4" t="s">
        <v>82</v>
      </c>
      <c r="F6" s="4" t="s">
        <v>76</v>
      </c>
      <c r="G6" s="4">
        <v>3</v>
      </c>
      <c r="H6" s="85">
        <v>5</v>
      </c>
      <c r="I6" s="4" t="s">
        <v>582</v>
      </c>
      <c r="J6" s="4" t="s">
        <v>583</v>
      </c>
      <c r="K6" s="4" t="s">
        <v>584</v>
      </c>
      <c r="L6" s="4" t="s">
        <v>585</v>
      </c>
      <c r="M6" s="4"/>
      <c r="N6" s="4"/>
      <c r="O6" s="4"/>
      <c r="P6" s="84" t="b">
        <v>0</v>
      </c>
    </row>
    <row r="7" spans="1:17" ht="29" x14ac:dyDescent="0.35">
      <c r="A7" s="4" t="s">
        <v>581</v>
      </c>
      <c r="B7" s="100" t="s">
        <v>284</v>
      </c>
      <c r="C7" s="4" t="s">
        <v>74</v>
      </c>
      <c r="D7" s="4">
        <v>21</v>
      </c>
      <c r="E7" s="4" t="s">
        <v>91</v>
      </c>
      <c r="F7" s="4" t="s">
        <v>86</v>
      </c>
      <c r="G7" s="4">
        <v>3</v>
      </c>
      <c r="H7" s="4">
        <v>9</v>
      </c>
      <c r="I7" s="50" t="s">
        <v>586</v>
      </c>
      <c r="J7" s="4" t="s">
        <v>583</v>
      </c>
      <c r="K7" s="4" t="s">
        <v>584</v>
      </c>
      <c r="L7" s="4" t="s">
        <v>585</v>
      </c>
      <c r="M7" s="4"/>
      <c r="N7" s="4"/>
      <c r="O7" s="4"/>
      <c r="P7" s="84" t="b">
        <v>0</v>
      </c>
    </row>
    <row r="8" spans="1:17" x14ac:dyDescent="0.35">
      <c r="A8" s="85" t="s">
        <v>581</v>
      </c>
      <c r="B8" s="112" t="s">
        <v>284</v>
      </c>
      <c r="C8" s="85" t="s">
        <v>81</v>
      </c>
      <c r="D8" s="85">
        <v>21</v>
      </c>
      <c r="E8" s="85" t="s">
        <v>91</v>
      </c>
      <c r="F8" s="85" t="s">
        <v>86</v>
      </c>
      <c r="G8" s="85">
        <v>4</v>
      </c>
      <c r="H8" s="85">
        <v>9</v>
      </c>
      <c r="I8" s="85" t="s">
        <v>693</v>
      </c>
      <c r="J8" s="113" t="s">
        <v>694</v>
      </c>
      <c r="K8" s="85" t="s">
        <v>648</v>
      </c>
      <c r="L8" s="4"/>
      <c r="M8" s="4"/>
      <c r="N8" s="4"/>
      <c r="O8" s="4"/>
      <c r="P8" s="84" t="b">
        <v>0</v>
      </c>
    </row>
    <row r="9" spans="1:17" ht="29" x14ac:dyDescent="0.35">
      <c r="A9" s="4" t="s">
        <v>581</v>
      </c>
      <c r="B9" s="100" t="s">
        <v>284</v>
      </c>
      <c r="C9" s="4" t="s">
        <v>79</v>
      </c>
      <c r="D9" s="4">
        <v>22</v>
      </c>
      <c r="E9" s="85" t="s">
        <v>85</v>
      </c>
      <c r="F9" s="85" t="s">
        <v>107</v>
      </c>
      <c r="G9" s="4">
        <v>3</v>
      </c>
      <c r="H9" s="4">
        <v>9</v>
      </c>
      <c r="I9" s="50" t="s">
        <v>586</v>
      </c>
      <c r="J9" s="4" t="s">
        <v>583</v>
      </c>
      <c r="K9" s="4" t="s">
        <v>584</v>
      </c>
      <c r="L9" s="4" t="s">
        <v>585</v>
      </c>
      <c r="M9" s="4"/>
      <c r="N9" s="4"/>
      <c r="O9" s="4"/>
      <c r="P9" s="84" t="b">
        <v>0</v>
      </c>
    </row>
    <row r="10" spans="1:17" x14ac:dyDescent="0.35">
      <c r="A10" s="85" t="s">
        <v>581</v>
      </c>
      <c r="B10" s="112" t="s">
        <v>284</v>
      </c>
      <c r="C10" s="85" t="s">
        <v>74</v>
      </c>
      <c r="D10" s="85">
        <v>21</v>
      </c>
      <c r="E10" s="85" t="s">
        <v>85</v>
      </c>
      <c r="F10" s="85" t="s">
        <v>107</v>
      </c>
      <c r="G10" s="85">
        <v>4</v>
      </c>
      <c r="H10" s="85">
        <v>9</v>
      </c>
      <c r="I10" s="85" t="s">
        <v>693</v>
      </c>
      <c r="J10" s="113" t="s">
        <v>694</v>
      </c>
      <c r="K10" s="85" t="s">
        <v>648</v>
      </c>
      <c r="L10" s="4"/>
      <c r="M10" s="4"/>
      <c r="N10" s="4"/>
      <c r="O10" s="4"/>
      <c r="P10" s="84" t="b">
        <v>0</v>
      </c>
    </row>
    <row r="11" spans="1:17" ht="29" x14ac:dyDescent="0.35">
      <c r="A11" s="4" t="s">
        <v>581</v>
      </c>
      <c r="B11" s="100" t="s">
        <v>284</v>
      </c>
      <c r="C11" s="4" t="s">
        <v>81</v>
      </c>
      <c r="D11" s="4">
        <v>22</v>
      </c>
      <c r="E11" s="4" t="s">
        <v>82</v>
      </c>
      <c r="F11" s="4" t="s">
        <v>76</v>
      </c>
      <c r="G11" s="4">
        <v>3</v>
      </c>
      <c r="H11" s="4">
        <v>9</v>
      </c>
      <c r="I11" s="50" t="s">
        <v>586</v>
      </c>
      <c r="J11" s="4" t="s">
        <v>583</v>
      </c>
      <c r="K11" s="4" t="s">
        <v>584</v>
      </c>
      <c r="L11" s="4" t="s">
        <v>585</v>
      </c>
      <c r="M11" s="4"/>
      <c r="N11" s="4"/>
      <c r="O11" s="4"/>
      <c r="P11" s="84" t="b">
        <v>0</v>
      </c>
    </row>
    <row r="12" spans="1:17" s="32" customFormat="1" x14ac:dyDescent="0.35">
      <c r="A12" s="4" t="s">
        <v>581</v>
      </c>
      <c r="B12" s="100" t="s">
        <v>285</v>
      </c>
      <c r="C12" s="4" t="s">
        <v>74</v>
      </c>
      <c r="D12" s="4">
        <v>32</v>
      </c>
      <c r="E12" s="4" t="s">
        <v>91</v>
      </c>
      <c r="F12" s="4" t="s">
        <v>86</v>
      </c>
      <c r="G12" s="4">
        <v>4</v>
      </c>
      <c r="H12" s="4" t="s">
        <v>587</v>
      </c>
      <c r="I12" s="4" t="s">
        <v>588</v>
      </c>
      <c r="J12" s="4" t="s">
        <v>589</v>
      </c>
      <c r="K12" s="4"/>
      <c r="L12" s="4"/>
      <c r="M12" s="85"/>
      <c r="N12" s="85"/>
      <c r="O12" s="85"/>
      <c r="P12" s="86" t="b">
        <v>0</v>
      </c>
    </row>
    <row r="13" spans="1:17" s="32" customFormat="1" x14ac:dyDescent="0.35">
      <c r="A13" s="4" t="s">
        <v>581</v>
      </c>
      <c r="B13" s="100" t="s">
        <v>285</v>
      </c>
      <c r="C13" s="4" t="s">
        <v>79</v>
      </c>
      <c r="D13" s="4">
        <v>33</v>
      </c>
      <c r="E13" s="4" t="s">
        <v>82</v>
      </c>
      <c r="F13" s="4" t="s">
        <v>76</v>
      </c>
      <c r="G13" s="4">
        <v>4</v>
      </c>
      <c r="H13" s="4" t="s">
        <v>587</v>
      </c>
      <c r="I13" s="4" t="s">
        <v>588</v>
      </c>
      <c r="J13" s="4" t="s">
        <v>589</v>
      </c>
      <c r="K13" s="4"/>
      <c r="L13" s="4"/>
      <c r="M13" s="85"/>
      <c r="N13" s="85"/>
      <c r="O13" s="85"/>
      <c r="P13" s="86" t="b">
        <v>0</v>
      </c>
    </row>
    <row r="14" spans="1:17" x14ac:dyDescent="0.35">
      <c r="A14" s="4" t="s">
        <v>581</v>
      </c>
      <c r="B14" s="107" t="s">
        <v>287</v>
      </c>
      <c r="C14" s="4" t="s">
        <v>467</v>
      </c>
      <c r="D14" s="4">
        <v>65</v>
      </c>
      <c r="E14" s="4"/>
      <c r="F14" s="4"/>
      <c r="G14" s="4">
        <v>3</v>
      </c>
      <c r="H14" s="4" t="s">
        <v>590</v>
      </c>
      <c r="I14" s="4" t="s">
        <v>511</v>
      </c>
      <c r="J14" s="4" t="s">
        <v>591</v>
      </c>
      <c r="K14" s="4" t="s">
        <v>592</v>
      </c>
      <c r="L14" s="4" t="s">
        <v>593</v>
      </c>
      <c r="M14" s="4"/>
      <c r="N14" s="4"/>
      <c r="O14" s="4"/>
      <c r="P14" s="84" t="b">
        <v>0</v>
      </c>
    </row>
    <row r="15" spans="1:17" x14ac:dyDescent="0.35">
      <c r="A15" s="4" t="s">
        <v>581</v>
      </c>
      <c r="B15" s="107" t="s">
        <v>287</v>
      </c>
      <c r="C15" s="4" t="s">
        <v>467</v>
      </c>
      <c r="D15" s="4">
        <v>65</v>
      </c>
      <c r="E15" s="4"/>
      <c r="F15" s="4"/>
      <c r="G15" s="4">
        <v>3</v>
      </c>
      <c r="H15" s="4">
        <v>5</v>
      </c>
      <c r="I15" s="4" t="s">
        <v>511</v>
      </c>
      <c r="J15" s="4" t="s">
        <v>591</v>
      </c>
      <c r="K15" s="4" t="s">
        <v>592</v>
      </c>
      <c r="L15" s="4" t="s">
        <v>593</v>
      </c>
      <c r="M15" s="4"/>
      <c r="N15" s="4"/>
      <c r="O15" s="4"/>
      <c r="P15" s="84" t="b">
        <v>0</v>
      </c>
    </row>
    <row r="16" spans="1:17" x14ac:dyDescent="0.35">
      <c r="A16" s="4" t="s">
        <v>581</v>
      </c>
      <c r="B16" s="100" t="s">
        <v>287</v>
      </c>
      <c r="C16" s="4" t="s">
        <v>74</v>
      </c>
      <c r="D16" s="4">
        <v>32</v>
      </c>
      <c r="E16" s="4" t="s">
        <v>91</v>
      </c>
      <c r="F16" s="4" t="s">
        <v>86</v>
      </c>
      <c r="G16" s="4">
        <v>4</v>
      </c>
      <c r="H16" s="4">
        <v>10</v>
      </c>
      <c r="I16" s="4" t="s">
        <v>571</v>
      </c>
      <c r="J16" s="4" t="s">
        <v>591</v>
      </c>
      <c r="K16" s="4" t="s">
        <v>584</v>
      </c>
      <c r="L16" s="4" t="s">
        <v>592</v>
      </c>
      <c r="M16" s="4"/>
      <c r="N16" s="4"/>
      <c r="O16" s="4"/>
      <c r="P16" s="84" t="b">
        <v>0</v>
      </c>
    </row>
    <row r="17" spans="1:16" x14ac:dyDescent="0.35">
      <c r="A17" s="4" t="s">
        <v>581</v>
      </c>
      <c r="B17" s="100" t="s">
        <v>287</v>
      </c>
      <c r="C17" s="4" t="s">
        <v>79</v>
      </c>
      <c r="D17" s="4">
        <v>33</v>
      </c>
      <c r="E17" s="4" t="s">
        <v>82</v>
      </c>
      <c r="F17" s="4" t="s">
        <v>76</v>
      </c>
      <c r="G17" s="4">
        <v>4</v>
      </c>
      <c r="H17" s="4">
        <v>10</v>
      </c>
      <c r="I17" s="4" t="s">
        <v>571</v>
      </c>
      <c r="J17" s="4" t="s">
        <v>591</v>
      </c>
      <c r="K17" s="4" t="s">
        <v>584</v>
      </c>
      <c r="L17" s="4" t="s">
        <v>592</v>
      </c>
      <c r="M17" s="4"/>
      <c r="N17" s="4"/>
      <c r="O17" s="4"/>
      <c r="P17" s="84" t="b">
        <v>0</v>
      </c>
    </row>
    <row r="18" spans="1:16" x14ac:dyDescent="0.35">
      <c r="A18" s="4" t="s">
        <v>594</v>
      </c>
      <c r="B18" s="100" t="s">
        <v>290</v>
      </c>
      <c r="C18" s="4" t="s">
        <v>595</v>
      </c>
      <c r="D18" s="4">
        <v>30</v>
      </c>
      <c r="E18" s="4" t="s">
        <v>88</v>
      </c>
      <c r="F18" s="4" t="s">
        <v>86</v>
      </c>
      <c r="G18" s="4">
        <v>3</v>
      </c>
      <c r="H18" s="4">
        <v>2</v>
      </c>
      <c r="I18" s="4" t="s">
        <v>596</v>
      </c>
      <c r="J18" s="4" t="s">
        <v>597</v>
      </c>
      <c r="K18" s="4" t="s">
        <v>598</v>
      </c>
      <c r="L18" s="4" t="s">
        <v>599</v>
      </c>
      <c r="M18" s="4" t="s">
        <v>584</v>
      </c>
      <c r="N18" s="4"/>
      <c r="O18" s="4"/>
      <c r="P18" s="84" t="b">
        <v>0</v>
      </c>
    </row>
    <row r="19" spans="1:16" x14ac:dyDescent="0.35">
      <c r="A19" s="4" t="s">
        <v>594</v>
      </c>
      <c r="B19" s="100" t="s">
        <v>290</v>
      </c>
      <c r="C19" s="4" t="s">
        <v>600</v>
      </c>
      <c r="D19" s="4">
        <v>30</v>
      </c>
      <c r="E19" s="4" t="s">
        <v>88</v>
      </c>
      <c r="F19" s="4" t="s">
        <v>98</v>
      </c>
      <c r="G19" s="4">
        <v>3</v>
      </c>
      <c r="H19" s="4">
        <v>2</v>
      </c>
      <c r="I19" s="4" t="s">
        <v>596</v>
      </c>
      <c r="J19" s="4" t="s">
        <v>597</v>
      </c>
      <c r="K19" s="4" t="s">
        <v>598</v>
      </c>
      <c r="L19" s="4" t="s">
        <v>599</v>
      </c>
      <c r="M19" s="4" t="s">
        <v>584</v>
      </c>
      <c r="N19" s="4"/>
      <c r="O19" s="4"/>
      <c r="P19" s="84" t="b">
        <v>0</v>
      </c>
    </row>
    <row r="20" spans="1:16" x14ac:dyDescent="0.35">
      <c r="A20" s="4" t="s">
        <v>594</v>
      </c>
      <c r="B20" s="100" t="s">
        <v>290</v>
      </c>
      <c r="C20" s="4" t="s">
        <v>595</v>
      </c>
      <c r="D20" s="4">
        <v>30</v>
      </c>
      <c r="E20" s="4" t="s">
        <v>88</v>
      </c>
      <c r="F20" s="4" t="s">
        <v>86</v>
      </c>
      <c r="G20" s="4">
        <v>3</v>
      </c>
      <c r="H20" s="4">
        <v>3</v>
      </c>
      <c r="I20" s="4" t="s">
        <v>601</v>
      </c>
      <c r="J20" s="4" t="s">
        <v>599</v>
      </c>
      <c r="K20" s="4" t="s">
        <v>584</v>
      </c>
      <c r="L20" s="4" t="s">
        <v>598</v>
      </c>
      <c r="M20" s="4"/>
      <c r="N20" s="4"/>
      <c r="O20" s="4"/>
      <c r="P20" s="84" t="b">
        <v>0</v>
      </c>
    </row>
    <row r="21" spans="1:16" x14ac:dyDescent="0.35">
      <c r="A21" s="4" t="s">
        <v>594</v>
      </c>
      <c r="B21" s="100" t="s">
        <v>290</v>
      </c>
      <c r="C21" s="4" t="s">
        <v>600</v>
      </c>
      <c r="D21" s="4">
        <v>31</v>
      </c>
      <c r="E21" s="4" t="s">
        <v>88</v>
      </c>
      <c r="F21" s="4" t="s">
        <v>98</v>
      </c>
      <c r="G21" s="4">
        <v>3</v>
      </c>
      <c r="H21" s="4">
        <v>3</v>
      </c>
      <c r="I21" s="4" t="s">
        <v>601</v>
      </c>
      <c r="J21" s="4" t="s">
        <v>599</v>
      </c>
      <c r="K21" s="4" t="s">
        <v>584</v>
      </c>
      <c r="L21" s="4" t="s">
        <v>598</v>
      </c>
      <c r="M21" s="4"/>
      <c r="N21" s="4"/>
      <c r="O21" s="4"/>
      <c r="P21" s="84" t="b">
        <v>0</v>
      </c>
    </row>
    <row r="22" spans="1:16" x14ac:dyDescent="0.35">
      <c r="A22" s="4" t="s">
        <v>594</v>
      </c>
      <c r="B22" s="100" t="s">
        <v>290</v>
      </c>
      <c r="C22" s="4" t="s">
        <v>595</v>
      </c>
      <c r="D22" s="4">
        <v>30</v>
      </c>
      <c r="E22" s="4" t="s">
        <v>88</v>
      </c>
      <c r="F22" s="4" t="s">
        <v>86</v>
      </c>
      <c r="G22" s="4">
        <v>3</v>
      </c>
      <c r="H22" s="4">
        <v>4</v>
      </c>
      <c r="I22" s="4" t="s">
        <v>522</v>
      </c>
      <c r="J22" s="4" t="s">
        <v>599</v>
      </c>
      <c r="K22" s="4" t="s">
        <v>584</v>
      </c>
      <c r="L22" s="4" t="s">
        <v>598</v>
      </c>
      <c r="M22" s="4"/>
      <c r="N22" s="4"/>
      <c r="O22" s="4"/>
      <c r="P22" s="84" t="b">
        <v>0</v>
      </c>
    </row>
    <row r="23" spans="1:16" x14ac:dyDescent="0.35">
      <c r="A23" s="4" t="s">
        <v>594</v>
      </c>
      <c r="B23" s="100" t="s">
        <v>290</v>
      </c>
      <c r="C23" s="4" t="s">
        <v>600</v>
      </c>
      <c r="D23" s="4">
        <v>31</v>
      </c>
      <c r="E23" s="4" t="s">
        <v>88</v>
      </c>
      <c r="F23" s="4" t="s">
        <v>98</v>
      </c>
      <c r="G23" s="4">
        <v>3</v>
      </c>
      <c r="H23" s="4">
        <v>4</v>
      </c>
      <c r="I23" s="4" t="s">
        <v>522</v>
      </c>
      <c r="J23" s="4" t="s">
        <v>599</v>
      </c>
      <c r="K23" s="4" t="s">
        <v>584</v>
      </c>
      <c r="L23" s="4" t="s">
        <v>598</v>
      </c>
      <c r="M23" s="4"/>
      <c r="N23" s="4"/>
      <c r="O23" s="4"/>
      <c r="P23" s="84" t="b">
        <v>0</v>
      </c>
    </row>
    <row r="24" spans="1:16" x14ac:dyDescent="0.35">
      <c r="A24" s="4" t="s">
        <v>594</v>
      </c>
      <c r="B24" s="100" t="s">
        <v>290</v>
      </c>
      <c r="C24" s="4" t="s">
        <v>595</v>
      </c>
      <c r="D24" s="4">
        <v>30</v>
      </c>
      <c r="E24" s="4" t="s">
        <v>88</v>
      </c>
      <c r="F24" s="4" t="s">
        <v>86</v>
      </c>
      <c r="G24" s="4">
        <v>3</v>
      </c>
      <c r="H24" s="4">
        <v>5</v>
      </c>
      <c r="I24" s="4" t="s">
        <v>522</v>
      </c>
      <c r="J24" s="4" t="s">
        <v>599</v>
      </c>
      <c r="K24" s="4" t="s">
        <v>584</v>
      </c>
      <c r="L24" s="4" t="s">
        <v>598</v>
      </c>
      <c r="M24" s="4"/>
      <c r="N24" s="4"/>
      <c r="O24" s="4"/>
      <c r="P24" s="84" t="b">
        <v>0</v>
      </c>
    </row>
    <row r="25" spans="1:16" x14ac:dyDescent="0.35">
      <c r="A25" s="4" t="s">
        <v>594</v>
      </c>
      <c r="B25" s="100" t="s">
        <v>290</v>
      </c>
      <c r="C25" s="4" t="s">
        <v>600</v>
      </c>
      <c r="D25" s="4">
        <v>31</v>
      </c>
      <c r="E25" s="4" t="s">
        <v>88</v>
      </c>
      <c r="F25" s="4" t="s">
        <v>98</v>
      </c>
      <c r="G25" s="4">
        <v>3</v>
      </c>
      <c r="H25" s="4">
        <v>5</v>
      </c>
      <c r="I25" s="4" t="s">
        <v>522</v>
      </c>
      <c r="J25" s="4" t="s">
        <v>599</v>
      </c>
      <c r="K25" s="4" t="s">
        <v>584</v>
      </c>
      <c r="L25" s="4" t="s">
        <v>598</v>
      </c>
      <c r="M25" s="4"/>
      <c r="N25" s="4"/>
      <c r="O25" s="4"/>
      <c r="P25" s="84" t="b">
        <v>0</v>
      </c>
    </row>
    <row r="26" spans="1:16" x14ac:dyDescent="0.35">
      <c r="A26" s="4" t="s">
        <v>594</v>
      </c>
      <c r="B26" s="100" t="s">
        <v>290</v>
      </c>
      <c r="C26" s="4" t="s">
        <v>74</v>
      </c>
      <c r="D26" s="4">
        <v>15</v>
      </c>
      <c r="E26" s="4" t="s">
        <v>75</v>
      </c>
      <c r="F26" s="4" t="s">
        <v>86</v>
      </c>
      <c r="G26" s="4">
        <v>3</v>
      </c>
      <c r="H26" s="4">
        <v>8</v>
      </c>
      <c r="I26" s="4" t="s">
        <v>475</v>
      </c>
      <c r="J26" s="4" t="s">
        <v>602</v>
      </c>
      <c r="K26" s="4" t="s">
        <v>477</v>
      </c>
      <c r="L26" s="4"/>
      <c r="M26" s="4"/>
      <c r="N26" s="4"/>
      <c r="O26" s="4"/>
      <c r="P26" s="84" t="b">
        <v>0</v>
      </c>
    </row>
    <row r="27" spans="1:16" x14ac:dyDescent="0.35">
      <c r="A27" s="4" t="s">
        <v>594</v>
      </c>
      <c r="B27" s="100" t="s">
        <v>290</v>
      </c>
      <c r="C27" s="4" t="s">
        <v>79</v>
      </c>
      <c r="D27" s="4">
        <v>15</v>
      </c>
      <c r="E27" s="4" t="s">
        <v>75</v>
      </c>
      <c r="F27" s="4" t="s">
        <v>98</v>
      </c>
      <c r="G27" s="4">
        <v>3</v>
      </c>
      <c r="H27" s="4">
        <v>8</v>
      </c>
      <c r="I27" s="4" t="s">
        <v>475</v>
      </c>
      <c r="J27" s="4" t="s">
        <v>602</v>
      </c>
      <c r="K27" s="4" t="s">
        <v>477</v>
      </c>
      <c r="L27" s="4"/>
      <c r="M27" s="4"/>
      <c r="N27" s="4"/>
      <c r="O27" s="4"/>
      <c r="P27" s="84" t="b">
        <v>0</v>
      </c>
    </row>
    <row r="28" spans="1:16" x14ac:dyDescent="0.35">
      <c r="A28" s="4" t="s">
        <v>594</v>
      </c>
      <c r="B28" s="100" t="s">
        <v>290</v>
      </c>
      <c r="C28" s="4" t="s">
        <v>81</v>
      </c>
      <c r="D28" s="4">
        <v>15</v>
      </c>
      <c r="E28" s="4" t="s">
        <v>75</v>
      </c>
      <c r="F28" s="4" t="s">
        <v>86</v>
      </c>
      <c r="G28" s="4">
        <v>3</v>
      </c>
      <c r="H28" s="4">
        <v>9</v>
      </c>
      <c r="I28" s="4" t="s">
        <v>475</v>
      </c>
      <c r="J28" s="4" t="s">
        <v>602</v>
      </c>
      <c r="K28" s="4" t="s">
        <v>477</v>
      </c>
      <c r="L28" s="4"/>
      <c r="M28" s="4"/>
      <c r="N28" s="4"/>
      <c r="O28" s="4"/>
      <c r="P28" s="84" t="b">
        <v>0</v>
      </c>
    </row>
    <row r="29" spans="1:16" x14ac:dyDescent="0.35">
      <c r="A29" s="4" t="s">
        <v>594</v>
      </c>
      <c r="B29" s="100" t="s">
        <v>290</v>
      </c>
      <c r="C29" s="4" t="s">
        <v>94</v>
      </c>
      <c r="D29" s="4">
        <v>16</v>
      </c>
      <c r="E29" s="4" t="s">
        <v>75</v>
      </c>
      <c r="F29" s="4" t="s">
        <v>98</v>
      </c>
      <c r="G29" s="4">
        <v>3</v>
      </c>
      <c r="H29" s="4">
        <v>9</v>
      </c>
      <c r="I29" s="4" t="s">
        <v>475</v>
      </c>
      <c r="J29" s="4" t="s">
        <v>602</v>
      </c>
      <c r="K29" s="4" t="s">
        <v>477</v>
      </c>
      <c r="L29" s="4"/>
      <c r="M29" s="4"/>
      <c r="N29" s="4"/>
      <c r="O29" s="4"/>
      <c r="P29" s="84" t="b">
        <v>0</v>
      </c>
    </row>
    <row r="30" spans="1:16" x14ac:dyDescent="0.35">
      <c r="A30" s="4" t="s">
        <v>594</v>
      </c>
      <c r="B30" s="100" t="s">
        <v>290</v>
      </c>
      <c r="C30" s="4" t="s">
        <v>595</v>
      </c>
      <c r="D30" s="4">
        <v>30</v>
      </c>
      <c r="E30" s="4" t="s">
        <v>88</v>
      </c>
      <c r="F30" s="4" t="s">
        <v>86</v>
      </c>
      <c r="G30" s="4">
        <v>3</v>
      </c>
      <c r="H30" s="4">
        <v>11</v>
      </c>
      <c r="I30" s="4" t="s">
        <v>603</v>
      </c>
      <c r="J30" s="4" t="s">
        <v>599</v>
      </c>
      <c r="K30" s="4" t="s">
        <v>584</v>
      </c>
      <c r="L30" s="4" t="s">
        <v>604</v>
      </c>
      <c r="M30" s="4"/>
      <c r="N30" s="4"/>
      <c r="O30" s="4"/>
      <c r="P30" s="84" t="b">
        <v>0</v>
      </c>
    </row>
    <row r="31" spans="1:16" x14ac:dyDescent="0.35">
      <c r="A31" s="4" t="s">
        <v>594</v>
      </c>
      <c r="B31" s="100" t="s">
        <v>290</v>
      </c>
      <c r="C31" s="4" t="s">
        <v>605</v>
      </c>
      <c r="D31" s="4">
        <v>31</v>
      </c>
      <c r="E31" s="4" t="s">
        <v>88</v>
      </c>
      <c r="F31" s="4" t="s">
        <v>98</v>
      </c>
      <c r="G31" s="4">
        <v>3</v>
      </c>
      <c r="H31" s="4">
        <v>11</v>
      </c>
      <c r="I31" s="4" t="s">
        <v>603</v>
      </c>
      <c r="J31" s="4" t="s">
        <v>599</v>
      </c>
      <c r="K31" s="4" t="s">
        <v>584</v>
      </c>
      <c r="L31" s="4" t="s">
        <v>604</v>
      </c>
      <c r="M31" s="4"/>
      <c r="N31" s="4"/>
      <c r="O31" s="4"/>
      <c r="P31" s="84" t="b">
        <v>0</v>
      </c>
    </row>
    <row r="32" spans="1:16" x14ac:dyDescent="0.35">
      <c r="A32" s="4" t="s">
        <v>594</v>
      </c>
      <c r="B32" s="100" t="s">
        <v>292</v>
      </c>
      <c r="C32" s="4" t="s">
        <v>74</v>
      </c>
      <c r="D32" s="4">
        <v>30</v>
      </c>
      <c r="E32" s="4" t="s">
        <v>88</v>
      </c>
      <c r="F32" s="4" t="s">
        <v>86</v>
      </c>
      <c r="G32" s="4">
        <v>3</v>
      </c>
      <c r="H32" s="4">
        <v>8</v>
      </c>
      <c r="I32" s="4" t="s">
        <v>571</v>
      </c>
      <c r="J32" s="4" t="s">
        <v>606</v>
      </c>
      <c r="K32" s="4" t="s">
        <v>592</v>
      </c>
      <c r="L32" s="4"/>
      <c r="M32" s="4"/>
      <c r="N32" s="4"/>
      <c r="O32" s="4"/>
      <c r="P32" s="84" t="b">
        <v>0</v>
      </c>
    </row>
    <row r="33" spans="1:16" x14ac:dyDescent="0.35">
      <c r="A33" s="4" t="s">
        <v>594</v>
      </c>
      <c r="B33" s="100" t="s">
        <v>292</v>
      </c>
      <c r="C33" s="4" t="s">
        <v>79</v>
      </c>
      <c r="D33" s="4">
        <v>31</v>
      </c>
      <c r="E33" s="4" t="s">
        <v>88</v>
      </c>
      <c r="F33" s="4" t="s">
        <v>98</v>
      </c>
      <c r="G33" s="4">
        <v>3</v>
      </c>
      <c r="H33" s="4">
        <v>8</v>
      </c>
      <c r="I33" s="4" t="s">
        <v>571</v>
      </c>
      <c r="J33" s="4" t="s">
        <v>606</v>
      </c>
      <c r="K33" s="4" t="s">
        <v>592</v>
      </c>
      <c r="L33" s="4"/>
      <c r="M33" s="4"/>
      <c r="N33" s="4"/>
      <c r="O33" s="4"/>
      <c r="P33" s="84" t="b">
        <v>0</v>
      </c>
    </row>
    <row r="34" spans="1:16" x14ac:dyDescent="0.35">
      <c r="A34" s="4" t="s">
        <v>594</v>
      </c>
      <c r="B34" s="100" t="s">
        <v>292</v>
      </c>
      <c r="C34" s="4" t="s">
        <v>74</v>
      </c>
      <c r="D34" s="4">
        <v>30</v>
      </c>
      <c r="E34" s="4" t="s">
        <v>88</v>
      </c>
      <c r="F34" s="4" t="s">
        <v>86</v>
      </c>
      <c r="G34" s="4">
        <v>3</v>
      </c>
      <c r="H34" s="4">
        <v>9</v>
      </c>
      <c r="I34" s="4" t="s">
        <v>571</v>
      </c>
      <c r="J34" s="4" t="s">
        <v>606</v>
      </c>
      <c r="K34" s="4" t="s">
        <v>592</v>
      </c>
      <c r="L34" s="4"/>
      <c r="M34" s="4"/>
      <c r="N34" s="4"/>
      <c r="O34" s="4"/>
      <c r="P34" s="84" t="b">
        <v>0</v>
      </c>
    </row>
    <row r="35" spans="1:16" x14ac:dyDescent="0.35">
      <c r="A35" s="4" t="s">
        <v>594</v>
      </c>
      <c r="B35" s="100" t="s">
        <v>292</v>
      </c>
      <c r="C35" s="4" t="s">
        <v>79</v>
      </c>
      <c r="D35" s="4">
        <v>31</v>
      </c>
      <c r="E35" s="4" t="s">
        <v>88</v>
      </c>
      <c r="F35" s="4" t="s">
        <v>98</v>
      </c>
      <c r="G35" s="4">
        <v>3</v>
      </c>
      <c r="H35" s="4">
        <v>9</v>
      </c>
      <c r="I35" s="4" t="s">
        <v>571</v>
      </c>
      <c r="J35" s="4" t="s">
        <v>606</v>
      </c>
      <c r="K35" s="4" t="s">
        <v>592</v>
      </c>
      <c r="N35" s="4"/>
      <c r="P35" s="84" t="b">
        <v>0</v>
      </c>
    </row>
    <row r="36" spans="1:16" x14ac:dyDescent="0.35">
      <c r="A36" s="4"/>
      <c r="C36" s="4"/>
      <c r="D36" s="4"/>
      <c r="E36" s="4"/>
      <c r="F36" s="4"/>
      <c r="G36" s="4"/>
      <c r="J36" s="4"/>
      <c r="N36" s="4"/>
      <c r="P36" s="84" t="b">
        <v>0</v>
      </c>
    </row>
    <row r="37" spans="1:16" x14ac:dyDescent="0.35">
      <c r="C37" s="4"/>
      <c r="D37" s="4"/>
      <c r="E37" s="4"/>
      <c r="F37" s="4"/>
      <c r="G37" s="4"/>
      <c r="J37" s="4"/>
      <c r="N37" s="4"/>
      <c r="P37" s="84" t="b">
        <v>0</v>
      </c>
    </row>
    <row r="38" spans="1:16" x14ac:dyDescent="0.35">
      <c r="F38" s="4"/>
      <c r="G38" s="4"/>
      <c r="J38" s="4"/>
      <c r="N38" s="4"/>
      <c r="P38" s="84" t="b">
        <v>0</v>
      </c>
    </row>
    <row r="39" spans="1:16" x14ac:dyDescent="0.35">
      <c r="F39" s="4"/>
      <c r="G39" s="4"/>
      <c r="J39" s="4"/>
      <c r="N39" s="4"/>
      <c r="P39" s="84" t="b">
        <v>0</v>
      </c>
    </row>
    <row r="40" spans="1:16" x14ac:dyDescent="0.35">
      <c r="F40" s="4"/>
      <c r="G40" s="4"/>
      <c r="J40" s="4"/>
      <c r="N40" s="4"/>
      <c r="P40" s="84" t="b">
        <v>0</v>
      </c>
    </row>
    <row r="41" spans="1:16" x14ac:dyDescent="0.35">
      <c r="F41" s="4"/>
      <c r="G41" s="4"/>
      <c r="J41" s="4"/>
      <c r="N41" s="4"/>
      <c r="P41" s="84" t="b">
        <v>0</v>
      </c>
    </row>
    <row r="42" spans="1:16" x14ac:dyDescent="0.35">
      <c r="F42" s="4"/>
      <c r="G42" s="4"/>
      <c r="J42" s="4"/>
      <c r="N42" s="4"/>
      <c r="P42" s="84" t="b">
        <v>0</v>
      </c>
    </row>
    <row r="43" spans="1:16" x14ac:dyDescent="0.35">
      <c r="F43" s="4"/>
      <c r="G43" s="4"/>
      <c r="J43" s="4"/>
      <c r="N43" s="4"/>
      <c r="P43" s="84" t="b">
        <v>0</v>
      </c>
    </row>
    <row r="44" spans="1:16" x14ac:dyDescent="0.35">
      <c r="F44" s="4"/>
      <c r="G44" s="4"/>
      <c r="J44" s="4"/>
      <c r="N44" s="4"/>
      <c r="P44" s="84" t="b">
        <v>0</v>
      </c>
    </row>
    <row r="45" spans="1:16" x14ac:dyDescent="0.35">
      <c r="F45" s="4"/>
      <c r="G45" s="4"/>
      <c r="J45" s="4"/>
      <c r="N45" s="4"/>
      <c r="P45" s="84" t="b">
        <v>0</v>
      </c>
    </row>
    <row r="46" spans="1:16" x14ac:dyDescent="0.35">
      <c r="F46" s="4"/>
      <c r="G46" s="4"/>
      <c r="J46" s="4"/>
      <c r="N46" s="4"/>
      <c r="P46" s="84" t="b">
        <v>0</v>
      </c>
    </row>
    <row r="47" spans="1:16" x14ac:dyDescent="0.35">
      <c r="F47" s="4"/>
      <c r="G47" s="4"/>
      <c r="J47" s="4"/>
      <c r="N47" s="4"/>
      <c r="P47" s="84" t="b">
        <v>0</v>
      </c>
    </row>
    <row r="48" spans="1:16" x14ac:dyDescent="0.35">
      <c r="F48" s="4"/>
      <c r="G48" s="4"/>
      <c r="J48" s="4"/>
      <c r="N48" s="4"/>
      <c r="P48" s="84" t="b">
        <v>0</v>
      </c>
    </row>
    <row r="49" spans="6:16" x14ac:dyDescent="0.35">
      <c r="F49" s="4"/>
      <c r="G49" s="4"/>
      <c r="J49" s="4"/>
      <c r="N49" s="4"/>
      <c r="P49" s="84" t="b">
        <v>0</v>
      </c>
    </row>
    <row r="50" spans="6:16" x14ac:dyDescent="0.35">
      <c r="F50" s="4"/>
      <c r="G50" s="4"/>
      <c r="J50" s="4"/>
      <c r="N50" s="4"/>
      <c r="P50" s="84" t="b">
        <v>0</v>
      </c>
    </row>
    <row r="51" spans="6:16" x14ac:dyDescent="0.35">
      <c r="F51" s="4"/>
      <c r="G51" s="4"/>
      <c r="J51" s="4"/>
      <c r="N51" s="4"/>
      <c r="P51" s="84" t="b">
        <v>0</v>
      </c>
    </row>
    <row r="52" spans="6:16" x14ac:dyDescent="0.35">
      <c r="F52" s="4"/>
      <c r="G52" s="4"/>
      <c r="J52" s="4"/>
      <c r="N52" s="4"/>
      <c r="P52" s="84" t="b">
        <v>0</v>
      </c>
    </row>
    <row r="53" spans="6:16" x14ac:dyDescent="0.35">
      <c r="F53" s="4"/>
      <c r="G53" s="4"/>
      <c r="J53" s="4"/>
      <c r="N53" s="4"/>
      <c r="P53" s="84" t="b">
        <v>0</v>
      </c>
    </row>
    <row r="54" spans="6:16" x14ac:dyDescent="0.35">
      <c r="F54" s="4"/>
      <c r="G54" s="4"/>
      <c r="J54" s="4"/>
      <c r="N54" s="4"/>
      <c r="P54" s="84" t="b">
        <v>0</v>
      </c>
    </row>
    <row r="55" spans="6:16" x14ac:dyDescent="0.35">
      <c r="F55" s="4"/>
      <c r="G55" s="4"/>
      <c r="J55" s="4"/>
      <c r="N55" s="4"/>
      <c r="P55" s="84" t="b">
        <v>0</v>
      </c>
    </row>
    <row r="56" spans="6:16" x14ac:dyDescent="0.35">
      <c r="F56" s="4"/>
      <c r="G56" s="4"/>
      <c r="J56" s="4"/>
      <c r="N56" s="4"/>
      <c r="P56" s="84" t="b">
        <v>0</v>
      </c>
    </row>
    <row r="57" spans="6:16" x14ac:dyDescent="0.35">
      <c r="F57" s="4"/>
      <c r="G57" s="4"/>
      <c r="J57" s="4"/>
      <c r="N57" s="4"/>
      <c r="P57" s="84" t="b">
        <v>0</v>
      </c>
    </row>
    <row r="58" spans="6:16" x14ac:dyDescent="0.35">
      <c r="F58" s="4"/>
      <c r="G58" s="4"/>
      <c r="J58" s="4"/>
      <c r="N58" s="4"/>
      <c r="P58" s="84" t="b">
        <v>0</v>
      </c>
    </row>
    <row r="59" spans="6:16" x14ac:dyDescent="0.35">
      <c r="F59" s="4"/>
      <c r="G59" s="4"/>
      <c r="J59" s="4"/>
      <c r="N59" s="4"/>
      <c r="P59" s="84" t="b">
        <v>0</v>
      </c>
    </row>
    <row r="60" spans="6:16" x14ac:dyDescent="0.35">
      <c r="F60" s="4"/>
      <c r="G60" s="4"/>
      <c r="J60" s="4"/>
      <c r="N60" s="4"/>
      <c r="P60" s="84" t="b">
        <v>0</v>
      </c>
    </row>
    <row r="61" spans="6:16" x14ac:dyDescent="0.35">
      <c r="F61" s="4"/>
      <c r="G61" s="4"/>
      <c r="J61" s="4"/>
      <c r="N61" s="4"/>
      <c r="P61" s="84" t="b">
        <v>0</v>
      </c>
    </row>
    <row r="62" spans="6:16" x14ac:dyDescent="0.35">
      <c r="F62" s="4"/>
      <c r="G62" s="4"/>
      <c r="J62" s="4"/>
      <c r="N62" s="4"/>
      <c r="P62" s="84" t="b">
        <v>0</v>
      </c>
    </row>
    <row r="63" spans="6:16" x14ac:dyDescent="0.35">
      <c r="F63" s="4"/>
      <c r="G63" s="4"/>
      <c r="J63" s="4"/>
      <c r="N63" s="4"/>
      <c r="P63" s="84" t="b">
        <v>0</v>
      </c>
    </row>
    <row r="64" spans="6:16" x14ac:dyDescent="0.35">
      <c r="F64" s="4"/>
      <c r="G64" s="4"/>
      <c r="J64" s="4"/>
      <c r="N64" s="4"/>
      <c r="P64" s="84" t="b">
        <v>0</v>
      </c>
    </row>
    <row r="65" spans="6:16" x14ac:dyDescent="0.35">
      <c r="F65" s="4"/>
      <c r="G65" s="4"/>
      <c r="J65" s="4"/>
      <c r="N65" s="4"/>
      <c r="P65" s="84" t="b">
        <v>0</v>
      </c>
    </row>
    <row r="66" spans="6:16" x14ac:dyDescent="0.35">
      <c r="F66" s="4"/>
      <c r="G66" s="4"/>
      <c r="J66" s="4"/>
      <c r="N66" s="4"/>
      <c r="P66" s="84" t="b">
        <v>0</v>
      </c>
    </row>
    <row r="67" spans="6:16" x14ac:dyDescent="0.35">
      <c r="F67" s="4"/>
      <c r="G67" s="4"/>
      <c r="J67" s="4"/>
      <c r="N67" s="4"/>
      <c r="P67" s="84" t="b">
        <v>0</v>
      </c>
    </row>
    <row r="68" spans="6:16" x14ac:dyDescent="0.35">
      <c r="F68" s="4"/>
      <c r="G68" s="4"/>
      <c r="J68" s="4"/>
      <c r="N68" s="4"/>
      <c r="P68" s="84" t="b">
        <v>0</v>
      </c>
    </row>
    <row r="69" spans="6:16" x14ac:dyDescent="0.35">
      <c r="F69" s="4"/>
      <c r="G69" s="4"/>
      <c r="J69" s="4"/>
      <c r="N69" s="4"/>
      <c r="P69" s="84" t="b">
        <v>0</v>
      </c>
    </row>
    <row r="70" spans="6:16" x14ac:dyDescent="0.35">
      <c r="F70" s="4"/>
      <c r="G70" s="4"/>
      <c r="J70" s="4"/>
      <c r="N70" s="4"/>
      <c r="P70" s="84" t="b">
        <v>0</v>
      </c>
    </row>
    <row r="71" spans="6:16" x14ac:dyDescent="0.35">
      <c r="F71" s="4"/>
      <c r="G71" s="4"/>
      <c r="J71" s="4"/>
      <c r="N71" s="4"/>
      <c r="P71" s="84" t="b">
        <v>0</v>
      </c>
    </row>
    <row r="72" spans="6:16" x14ac:dyDescent="0.35">
      <c r="F72" s="4"/>
      <c r="G72" s="4"/>
      <c r="J72" s="4"/>
      <c r="N72" s="4"/>
      <c r="P72" s="84" t="b">
        <v>0</v>
      </c>
    </row>
    <row r="73" spans="6:16" x14ac:dyDescent="0.35">
      <c r="F73" s="4"/>
      <c r="G73" s="4"/>
      <c r="J73" s="4"/>
      <c r="N73" s="4"/>
      <c r="P73" s="84" t="b">
        <v>0</v>
      </c>
    </row>
    <row r="74" spans="6:16" x14ac:dyDescent="0.35">
      <c r="F74" s="4"/>
      <c r="G74" s="4"/>
      <c r="J74" s="4"/>
      <c r="N74" s="4"/>
      <c r="P74" s="84" t="b">
        <v>0</v>
      </c>
    </row>
    <row r="75" spans="6:16" x14ac:dyDescent="0.35">
      <c r="F75" s="4"/>
      <c r="G75" s="4"/>
      <c r="J75" s="4"/>
      <c r="N75" s="4"/>
      <c r="P75" s="84" t="b">
        <v>0</v>
      </c>
    </row>
    <row r="76" spans="6:16" x14ac:dyDescent="0.35">
      <c r="F76" s="4"/>
      <c r="G76" s="4"/>
      <c r="J76" s="4"/>
      <c r="N76" s="4"/>
      <c r="P76" s="84" t="b">
        <v>0</v>
      </c>
    </row>
    <row r="77" spans="6:16" x14ac:dyDescent="0.35">
      <c r="F77" s="4"/>
      <c r="G77" s="4"/>
      <c r="J77" s="4"/>
      <c r="N77" s="4"/>
      <c r="P77" s="84" t="b">
        <v>0</v>
      </c>
    </row>
    <row r="78" spans="6:16" x14ac:dyDescent="0.35">
      <c r="F78" s="4"/>
      <c r="G78" s="4"/>
      <c r="J78" s="4"/>
      <c r="N78" s="4"/>
      <c r="P78" s="84" t="b">
        <v>0</v>
      </c>
    </row>
    <row r="79" spans="6:16" x14ac:dyDescent="0.35">
      <c r="F79" s="4"/>
      <c r="G79" s="4"/>
      <c r="J79" s="4"/>
      <c r="N79" s="4"/>
      <c r="P79" s="84" t="b">
        <v>0</v>
      </c>
    </row>
    <row r="80" spans="6:16" x14ac:dyDescent="0.35">
      <c r="F80" s="4"/>
      <c r="G80" s="4"/>
      <c r="J80" s="4"/>
      <c r="N80" s="4"/>
      <c r="P80" s="84" t="b">
        <v>0</v>
      </c>
    </row>
    <row r="81" spans="6:16" x14ac:dyDescent="0.35">
      <c r="F81" s="4"/>
      <c r="G81" s="4"/>
      <c r="J81" s="4"/>
      <c r="N81" s="4"/>
      <c r="P81" s="84" t="b">
        <v>0</v>
      </c>
    </row>
    <row r="82" spans="6:16" x14ac:dyDescent="0.35">
      <c r="F82" s="4"/>
      <c r="G82" s="4"/>
      <c r="J82" s="4"/>
      <c r="N82" s="4"/>
      <c r="P82" s="84" t="b">
        <v>0</v>
      </c>
    </row>
    <row r="83" spans="6:16" x14ac:dyDescent="0.35">
      <c r="F83" s="4"/>
      <c r="G83" s="4"/>
      <c r="J83" s="4"/>
      <c r="N83" s="4"/>
      <c r="P83" s="84" t="b">
        <v>0</v>
      </c>
    </row>
    <row r="84" spans="6:16" x14ac:dyDescent="0.35">
      <c r="F84" s="4"/>
      <c r="G84" s="4"/>
      <c r="J84" s="4"/>
      <c r="N84" s="4"/>
      <c r="P84" s="84" t="b">
        <v>0</v>
      </c>
    </row>
    <row r="85" spans="6:16" x14ac:dyDescent="0.35">
      <c r="F85" s="4"/>
      <c r="G85" s="4"/>
      <c r="J85" s="4"/>
      <c r="N85" s="4"/>
      <c r="P85" s="84" t="b">
        <v>0</v>
      </c>
    </row>
    <row r="86" spans="6:16" x14ac:dyDescent="0.35">
      <c r="F86" s="4"/>
      <c r="G86" s="4"/>
      <c r="J86" s="4"/>
      <c r="N86" s="4"/>
      <c r="P86" s="84" t="b">
        <v>0</v>
      </c>
    </row>
    <row r="87" spans="6:16" x14ac:dyDescent="0.35">
      <c r="F87" s="4"/>
      <c r="G87" s="4"/>
      <c r="J87" s="4"/>
      <c r="N87" s="4"/>
      <c r="P87" s="84" t="b">
        <v>0</v>
      </c>
    </row>
    <row r="88" spans="6:16" x14ac:dyDescent="0.35">
      <c r="F88" s="4"/>
      <c r="G88" s="4"/>
      <c r="J88" s="4"/>
      <c r="N88" s="4"/>
      <c r="P88" s="84" t="b">
        <v>0</v>
      </c>
    </row>
    <row r="89" spans="6:16" x14ac:dyDescent="0.35">
      <c r="F89" s="4"/>
      <c r="G89" s="4"/>
      <c r="J89" s="4"/>
      <c r="N89" s="4"/>
      <c r="P89" s="84" t="b">
        <v>0</v>
      </c>
    </row>
    <row r="90" spans="6:16" x14ac:dyDescent="0.35">
      <c r="F90" s="4"/>
      <c r="G90" s="4"/>
      <c r="J90" s="4"/>
      <c r="N90" s="4"/>
      <c r="P90" s="84" t="b">
        <v>0</v>
      </c>
    </row>
    <row r="91" spans="6:16" x14ac:dyDescent="0.35">
      <c r="F91" s="4"/>
      <c r="G91" s="4"/>
      <c r="J91" s="4"/>
      <c r="N91" s="4"/>
      <c r="P91" s="84" t="b">
        <v>0</v>
      </c>
    </row>
    <row r="92" spans="6:16" x14ac:dyDescent="0.35">
      <c r="F92" s="4"/>
      <c r="G92" s="4"/>
      <c r="J92" s="4"/>
      <c r="N92" s="4"/>
      <c r="P92" s="84" t="b">
        <v>0</v>
      </c>
    </row>
    <row r="93" spans="6:16" x14ac:dyDescent="0.35">
      <c r="F93" s="4"/>
      <c r="G93" s="4"/>
      <c r="J93" s="4"/>
      <c r="N93" s="4"/>
      <c r="P93" s="84" t="b">
        <v>0</v>
      </c>
    </row>
    <row r="94" spans="6:16" x14ac:dyDescent="0.35">
      <c r="F94" s="4"/>
      <c r="G94" s="4"/>
      <c r="J94" s="4"/>
      <c r="N94" s="4"/>
      <c r="P94" s="84" t="b">
        <v>0</v>
      </c>
    </row>
    <row r="95" spans="6:16" x14ac:dyDescent="0.35">
      <c r="F95" s="4"/>
      <c r="G95" s="4"/>
      <c r="J95" s="4"/>
      <c r="N95" s="4"/>
      <c r="P95" s="84" t="b">
        <v>0</v>
      </c>
    </row>
    <row r="96" spans="6:16" x14ac:dyDescent="0.35">
      <c r="F96" s="4"/>
      <c r="G96" s="4"/>
      <c r="J96" s="4"/>
      <c r="N96" s="4"/>
      <c r="P96" s="84" t="b">
        <v>0</v>
      </c>
    </row>
    <row r="97" spans="3:16" x14ac:dyDescent="0.35">
      <c r="F97" s="4"/>
      <c r="G97" s="4"/>
      <c r="J97" s="4"/>
      <c r="N97" s="4"/>
      <c r="P97" s="84" t="b">
        <v>0</v>
      </c>
    </row>
    <row r="98" spans="3:16" x14ac:dyDescent="0.35">
      <c r="F98" s="4"/>
      <c r="G98" s="4"/>
      <c r="J98" s="4"/>
      <c r="N98" s="4"/>
      <c r="P98" s="84" t="b">
        <v>0</v>
      </c>
    </row>
    <row r="99" spans="3:16" x14ac:dyDescent="0.35">
      <c r="F99" s="4"/>
      <c r="G99" s="4"/>
      <c r="J99" s="4"/>
      <c r="N99" s="4"/>
      <c r="P99" s="84" t="b">
        <v>0</v>
      </c>
    </row>
    <row r="100" spans="3:16" x14ac:dyDescent="0.35">
      <c r="G100" s="4"/>
      <c r="J100" s="4"/>
      <c r="N100" s="4"/>
      <c r="P100" s="84" t="b">
        <v>0</v>
      </c>
    </row>
    <row r="101" spans="3:16" x14ac:dyDescent="0.35">
      <c r="G101" s="4"/>
      <c r="J101" s="4"/>
      <c r="N101" s="4"/>
      <c r="P101" s="84" t="b">
        <v>0</v>
      </c>
    </row>
    <row r="102" spans="3:16" x14ac:dyDescent="0.35">
      <c r="G102" s="4"/>
      <c r="J102" s="4"/>
      <c r="N102" s="4"/>
      <c r="P102" s="84" t="b">
        <v>0</v>
      </c>
    </row>
    <row r="103" spans="3:16" x14ac:dyDescent="0.35">
      <c r="G103" s="4"/>
      <c r="J103" s="4"/>
      <c r="N103" s="4"/>
      <c r="P103" s="84" t="b">
        <v>0</v>
      </c>
    </row>
    <row r="104" spans="3:16" x14ac:dyDescent="0.35">
      <c r="G104" s="4"/>
      <c r="J104" s="4"/>
      <c r="N104" s="4"/>
      <c r="P104" s="84" t="b">
        <v>0</v>
      </c>
    </row>
    <row r="105" spans="3:16" x14ac:dyDescent="0.35">
      <c r="J105" s="4"/>
    </row>
    <row r="107" spans="3:16" x14ac:dyDescent="0.35">
      <c r="C107" s="4"/>
      <c r="D107" s="4"/>
    </row>
    <row r="108" spans="3:16" x14ac:dyDescent="0.35">
      <c r="C108" s="4"/>
      <c r="D108" s="4"/>
    </row>
    <row r="109" spans="3:16" x14ac:dyDescent="0.35">
      <c r="C109" s="4"/>
      <c r="D109" s="4"/>
    </row>
    <row r="110" spans="3:16" x14ac:dyDescent="0.35">
      <c r="C110" s="4"/>
      <c r="D110" s="4"/>
    </row>
    <row r="111" spans="3:16" x14ac:dyDescent="0.35">
      <c r="C111" s="4"/>
      <c r="D111" s="4"/>
    </row>
    <row r="112" spans="3:16" x14ac:dyDescent="0.35">
      <c r="C112" s="4"/>
      <c r="D112" s="4"/>
    </row>
  </sheetData>
  <autoFilter ref="A2:Q104" xr:uid="{7C3FF3D0-B4CB-4D74-BBA3-338EDBC090ED}"/>
  <dataValidations count="2">
    <dataValidation type="list" allowBlank="1" showInputMessage="1" showErrorMessage="1" sqref="J106:J1048576" xr:uid="{13130260-4B11-4A4B-90EA-66E34BB75402}">
      <formula1>$B$3:$B$338</formula1>
    </dataValidation>
    <dataValidation type="list" allowBlank="1" showInputMessage="1" showErrorMessage="1" sqref="N105:N1048576 O35:O1048576" xr:uid="{13831007-C243-486C-BC26-A394CABAFFBA}">
      <formula1>#REF!</formula1>
    </dataValidation>
  </dataValidation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0B5D-E227-4709-847D-638C67FC93F6}">
  <sheetPr filterMode="1"/>
  <dimension ref="A1:Q86"/>
  <sheetViews>
    <sheetView zoomScale="85" zoomScaleNormal="85" workbookViewId="0">
      <selection activeCell="C91" sqref="C91"/>
    </sheetView>
  </sheetViews>
  <sheetFormatPr defaultColWidth="8.81640625" defaultRowHeight="14.5" x14ac:dyDescent="0.35"/>
  <cols>
    <col min="1" max="1" width="19.81640625" style="4" customWidth="1"/>
    <col min="2" max="2" width="20.453125" style="4" customWidth="1"/>
    <col min="3" max="3" width="26.6328125" style="4" customWidth="1"/>
    <col min="4" max="6" width="12.54296875" style="4" customWidth="1"/>
    <col min="7" max="7" width="20.81640625" style="4" customWidth="1"/>
    <col min="8" max="8" width="28.1796875" style="4" customWidth="1"/>
    <col min="9" max="9" width="40.54296875" style="4" customWidth="1"/>
    <col min="10" max="10" width="27.1796875" style="4" customWidth="1"/>
    <col min="11" max="11" width="51" style="4" bestFit="1" customWidth="1"/>
    <col min="12" max="12" width="33.1796875" style="4" bestFit="1" customWidth="1"/>
    <col min="13" max="13" width="27.1796875" style="4" customWidth="1"/>
    <col min="14" max="14" width="28.453125" style="4" bestFit="1" customWidth="1"/>
    <col min="15" max="15" width="12.81640625" style="4" customWidth="1"/>
    <col min="16" max="17" width="20.81640625" style="47" customWidth="1"/>
    <col min="18" max="16384" width="8.81640625" style="47"/>
  </cols>
  <sheetData>
    <row r="1" spans="1:17" ht="60" customHeight="1" x14ac:dyDescent="0.35">
      <c r="G1" s="44" t="s">
        <v>37</v>
      </c>
      <c r="P1" s="45" t="s">
        <v>38</v>
      </c>
      <c r="Q1" s="46" t="s">
        <v>39</v>
      </c>
    </row>
    <row r="2" spans="1:17" x14ac:dyDescent="0.35">
      <c r="A2" s="48" t="s">
        <v>40</v>
      </c>
      <c r="B2" s="48" t="s">
        <v>41</v>
      </c>
      <c r="C2" s="48" t="s">
        <v>42</v>
      </c>
      <c r="D2" s="48" t="s">
        <v>43</v>
      </c>
      <c r="E2" s="48" t="s">
        <v>44</v>
      </c>
      <c r="F2" s="48" t="s">
        <v>45</v>
      </c>
      <c r="G2" s="48" t="s">
        <v>46</v>
      </c>
      <c r="H2" s="48" t="s">
        <v>47</v>
      </c>
      <c r="I2" s="48" t="s">
        <v>48</v>
      </c>
      <c r="J2" s="48" t="s">
        <v>49</v>
      </c>
      <c r="K2" s="48" t="s">
        <v>50</v>
      </c>
      <c r="L2" s="48" t="s">
        <v>51</v>
      </c>
      <c r="M2" s="48" t="s">
        <v>52</v>
      </c>
      <c r="N2" s="48" t="s">
        <v>53</v>
      </c>
      <c r="O2" s="48" t="s">
        <v>54</v>
      </c>
      <c r="P2" s="49" t="s">
        <v>55</v>
      </c>
    </row>
    <row r="3" spans="1:17" ht="29" hidden="1" x14ac:dyDescent="0.35">
      <c r="A3" s="4" t="s">
        <v>677</v>
      </c>
      <c r="B3" s="100" t="s">
        <v>177</v>
      </c>
      <c r="C3" s="4" t="s">
        <v>74</v>
      </c>
      <c r="D3" s="4">
        <v>43</v>
      </c>
      <c r="E3" s="4" t="s">
        <v>82</v>
      </c>
      <c r="F3" s="4" t="s">
        <v>76</v>
      </c>
      <c r="G3" s="4">
        <v>3</v>
      </c>
      <c r="H3" s="4" t="s">
        <v>557</v>
      </c>
      <c r="I3" s="50" t="s">
        <v>625</v>
      </c>
      <c r="J3" s="4" t="s">
        <v>678</v>
      </c>
      <c r="K3" s="4" t="s">
        <v>679</v>
      </c>
      <c r="P3" s="51" t="b">
        <v>0</v>
      </c>
    </row>
    <row r="4" spans="1:17" ht="29" hidden="1" x14ac:dyDescent="0.35">
      <c r="A4" s="4" t="s">
        <v>677</v>
      </c>
      <c r="B4" s="100" t="s">
        <v>177</v>
      </c>
      <c r="C4" s="4" t="s">
        <v>79</v>
      </c>
      <c r="D4" s="4">
        <v>43</v>
      </c>
      <c r="E4" s="4" t="s">
        <v>82</v>
      </c>
      <c r="F4" s="4" t="s">
        <v>76</v>
      </c>
      <c r="G4" s="4">
        <v>3</v>
      </c>
      <c r="H4" s="4" t="s">
        <v>557</v>
      </c>
      <c r="I4" s="50" t="s">
        <v>625</v>
      </c>
      <c r="J4" s="4" t="s">
        <v>678</v>
      </c>
      <c r="K4" s="4" t="s">
        <v>679</v>
      </c>
      <c r="P4" s="51" t="b">
        <v>0</v>
      </c>
    </row>
    <row r="5" spans="1:17" ht="29" hidden="1" x14ac:dyDescent="0.35">
      <c r="A5" s="4" t="s">
        <v>677</v>
      </c>
      <c r="B5" s="100" t="s">
        <v>680</v>
      </c>
      <c r="C5" s="4" t="s">
        <v>74</v>
      </c>
      <c r="D5" s="4">
        <v>43</v>
      </c>
      <c r="E5" s="4" t="s">
        <v>88</v>
      </c>
      <c r="F5" s="4" t="s">
        <v>92</v>
      </c>
      <c r="G5" s="4">
        <v>1</v>
      </c>
      <c r="H5" s="4" t="s">
        <v>681</v>
      </c>
      <c r="I5" s="50" t="s">
        <v>625</v>
      </c>
      <c r="J5" s="4" t="s">
        <v>678</v>
      </c>
      <c r="K5" s="4" t="s">
        <v>679</v>
      </c>
      <c r="P5" s="51" t="b">
        <v>0</v>
      </c>
    </row>
    <row r="6" spans="1:17" ht="29" hidden="1" x14ac:dyDescent="0.35">
      <c r="A6" s="4" t="s">
        <v>677</v>
      </c>
      <c r="B6" s="100" t="s">
        <v>680</v>
      </c>
      <c r="C6" s="4" t="s">
        <v>79</v>
      </c>
      <c r="D6" s="4">
        <v>43</v>
      </c>
      <c r="E6" s="4" t="s">
        <v>88</v>
      </c>
      <c r="F6" s="4" t="s">
        <v>92</v>
      </c>
      <c r="G6" s="4">
        <v>1</v>
      </c>
      <c r="H6" s="4" t="s">
        <v>681</v>
      </c>
      <c r="I6" s="50" t="s">
        <v>625</v>
      </c>
      <c r="J6" s="4" t="s">
        <v>678</v>
      </c>
      <c r="K6" s="4" t="s">
        <v>679</v>
      </c>
      <c r="P6" s="51" t="b">
        <v>0</v>
      </c>
    </row>
    <row r="7" spans="1:17" ht="29" hidden="1" x14ac:dyDescent="0.35">
      <c r="A7" s="4" t="s">
        <v>677</v>
      </c>
      <c r="B7" s="100" t="s">
        <v>682</v>
      </c>
      <c r="C7" s="4" t="s">
        <v>74</v>
      </c>
      <c r="D7" s="4">
        <v>43</v>
      </c>
      <c r="E7" s="4" t="s">
        <v>91</v>
      </c>
      <c r="F7" s="4" t="s">
        <v>86</v>
      </c>
      <c r="G7" s="4">
        <v>3</v>
      </c>
      <c r="H7" s="4">
        <v>9</v>
      </c>
      <c r="I7" s="50" t="s">
        <v>625</v>
      </c>
      <c r="J7" s="4" t="s">
        <v>678</v>
      </c>
      <c r="K7" s="4" t="s">
        <v>679</v>
      </c>
      <c r="P7" s="51" t="b">
        <v>0</v>
      </c>
    </row>
    <row r="8" spans="1:17" ht="29" hidden="1" x14ac:dyDescent="0.35">
      <c r="A8" s="4" t="s">
        <v>677</v>
      </c>
      <c r="B8" s="100" t="s">
        <v>682</v>
      </c>
      <c r="C8" s="4" t="s">
        <v>79</v>
      </c>
      <c r="D8" s="4">
        <v>43</v>
      </c>
      <c r="E8" s="4" t="s">
        <v>91</v>
      </c>
      <c r="F8" s="4" t="s">
        <v>86</v>
      </c>
      <c r="G8" s="4">
        <v>3</v>
      </c>
      <c r="H8" s="4">
        <v>9</v>
      </c>
      <c r="I8" s="50" t="s">
        <v>625</v>
      </c>
      <c r="J8" s="4" t="s">
        <v>678</v>
      </c>
      <c r="K8" s="4" t="s">
        <v>679</v>
      </c>
      <c r="P8" s="51" t="b">
        <v>0</v>
      </c>
    </row>
    <row r="9" spans="1:17" hidden="1" x14ac:dyDescent="0.35">
      <c r="P9" s="51" t="b">
        <v>0</v>
      </c>
    </row>
    <row r="10" spans="1:17" hidden="1" x14ac:dyDescent="0.35">
      <c r="A10" s="4" t="s">
        <v>683</v>
      </c>
      <c r="B10" s="100" t="s">
        <v>182</v>
      </c>
      <c r="C10" s="4" t="s">
        <v>487</v>
      </c>
      <c r="D10" s="4" t="s">
        <v>500</v>
      </c>
      <c r="G10" s="4">
        <v>2.5</v>
      </c>
      <c r="H10" s="4">
        <v>10</v>
      </c>
      <c r="I10" s="4" t="s">
        <v>684</v>
      </c>
      <c r="J10" s="96" t="s">
        <v>685</v>
      </c>
      <c r="K10" s="4" t="s">
        <v>686</v>
      </c>
      <c r="L10" s="4" t="s">
        <v>687</v>
      </c>
      <c r="M10" s="68" t="s">
        <v>567</v>
      </c>
      <c r="P10" s="51" t="b">
        <v>0</v>
      </c>
    </row>
    <row r="11" spans="1:17" hidden="1" x14ac:dyDescent="0.35">
      <c r="A11" s="4" t="s">
        <v>683</v>
      </c>
      <c r="B11" s="100" t="s">
        <v>182</v>
      </c>
      <c r="C11" s="4" t="s">
        <v>492</v>
      </c>
      <c r="D11" s="4" t="s">
        <v>500</v>
      </c>
      <c r="G11" s="4">
        <v>2.5</v>
      </c>
      <c r="H11" s="4">
        <v>10</v>
      </c>
      <c r="I11" s="4" t="s">
        <v>684</v>
      </c>
      <c r="J11" s="96" t="s">
        <v>685</v>
      </c>
      <c r="K11" s="4" t="s">
        <v>686</v>
      </c>
      <c r="L11" s="4" t="s">
        <v>687</v>
      </c>
      <c r="M11" s="68" t="s">
        <v>567</v>
      </c>
      <c r="P11" s="51" t="b">
        <v>0</v>
      </c>
    </row>
    <row r="12" spans="1:17" hidden="1" x14ac:dyDescent="0.35">
      <c r="P12" s="51" t="b">
        <v>0</v>
      </c>
    </row>
    <row r="13" spans="1:17" hidden="1" x14ac:dyDescent="0.35">
      <c r="A13" s="4" t="s">
        <v>688</v>
      </c>
      <c r="B13" s="100" t="s">
        <v>164</v>
      </c>
      <c r="C13" s="4" t="s">
        <v>74</v>
      </c>
      <c r="D13" s="4">
        <v>30</v>
      </c>
      <c r="E13" s="4" t="s">
        <v>85</v>
      </c>
      <c r="F13" s="4" t="s">
        <v>86</v>
      </c>
      <c r="G13" s="4">
        <v>3</v>
      </c>
      <c r="H13" s="4" t="s">
        <v>689</v>
      </c>
      <c r="I13" s="4" t="s">
        <v>527</v>
      </c>
      <c r="J13" s="4" t="s">
        <v>690</v>
      </c>
      <c r="K13" s="4" t="s">
        <v>566</v>
      </c>
      <c r="L13" s="96" t="s">
        <v>691</v>
      </c>
      <c r="P13" s="51" t="b">
        <v>0</v>
      </c>
    </row>
    <row r="14" spans="1:17" hidden="1" x14ac:dyDescent="0.35">
      <c r="A14" s="4" t="s">
        <v>688</v>
      </c>
      <c r="B14" s="100" t="s">
        <v>164</v>
      </c>
      <c r="C14" s="4" t="s">
        <v>79</v>
      </c>
      <c r="D14" s="4">
        <v>31</v>
      </c>
      <c r="E14" s="4" t="s">
        <v>85</v>
      </c>
      <c r="F14" s="4" t="s">
        <v>98</v>
      </c>
      <c r="G14" s="4">
        <v>3</v>
      </c>
      <c r="H14" s="4" t="s">
        <v>689</v>
      </c>
      <c r="I14" s="4" t="s">
        <v>527</v>
      </c>
      <c r="J14" s="4" t="s">
        <v>690</v>
      </c>
      <c r="K14" s="4" t="s">
        <v>566</v>
      </c>
      <c r="L14" s="96" t="s">
        <v>691</v>
      </c>
      <c r="P14" s="51" t="b">
        <v>0</v>
      </c>
    </row>
    <row r="15" spans="1:17" hidden="1" x14ac:dyDescent="0.35">
      <c r="A15" s="4" t="s">
        <v>688</v>
      </c>
      <c r="B15" s="100" t="s">
        <v>164</v>
      </c>
      <c r="C15" s="4" t="s">
        <v>74</v>
      </c>
      <c r="D15" s="4">
        <v>30</v>
      </c>
      <c r="E15" s="85" t="s">
        <v>91</v>
      </c>
      <c r="F15" s="85" t="s">
        <v>86</v>
      </c>
      <c r="G15" s="4">
        <v>3</v>
      </c>
      <c r="H15" s="4">
        <v>8</v>
      </c>
      <c r="I15" s="4" t="s">
        <v>527</v>
      </c>
      <c r="J15" s="4" t="s">
        <v>690</v>
      </c>
      <c r="K15" s="4" t="s">
        <v>566</v>
      </c>
      <c r="L15" s="96" t="s">
        <v>691</v>
      </c>
      <c r="P15" s="51" t="b">
        <v>0</v>
      </c>
    </row>
    <row r="16" spans="1:17" hidden="1" x14ac:dyDescent="0.35">
      <c r="A16" s="4" t="s">
        <v>688</v>
      </c>
      <c r="B16" s="100" t="s">
        <v>164</v>
      </c>
      <c r="C16" s="4" t="s">
        <v>79</v>
      </c>
      <c r="D16" s="4">
        <v>31</v>
      </c>
      <c r="E16" s="85" t="s">
        <v>75</v>
      </c>
      <c r="F16" s="85" t="s">
        <v>86</v>
      </c>
      <c r="G16" s="4">
        <v>3</v>
      </c>
      <c r="H16" s="4">
        <v>8</v>
      </c>
      <c r="I16" s="4" t="s">
        <v>527</v>
      </c>
      <c r="J16" s="4" t="s">
        <v>690</v>
      </c>
      <c r="K16" s="4" t="s">
        <v>566</v>
      </c>
      <c r="L16" s="96" t="s">
        <v>691</v>
      </c>
      <c r="P16" s="51" t="b">
        <v>0</v>
      </c>
    </row>
    <row r="17" spans="1:16" hidden="1" x14ac:dyDescent="0.35">
      <c r="A17" s="4" t="s">
        <v>688</v>
      </c>
      <c r="B17" s="100" t="s">
        <v>164</v>
      </c>
      <c r="C17" s="4" t="s">
        <v>74</v>
      </c>
      <c r="D17" s="4">
        <v>30</v>
      </c>
      <c r="E17" s="4" t="s">
        <v>85</v>
      </c>
      <c r="F17" s="4" t="s">
        <v>86</v>
      </c>
      <c r="G17" s="4">
        <v>3</v>
      </c>
      <c r="H17" s="4">
        <v>9</v>
      </c>
      <c r="I17" s="4" t="s">
        <v>527</v>
      </c>
      <c r="J17" s="4" t="s">
        <v>690</v>
      </c>
      <c r="K17" s="85" t="s">
        <v>566</v>
      </c>
      <c r="L17" s="96" t="s">
        <v>691</v>
      </c>
      <c r="P17" s="51" t="b">
        <v>0</v>
      </c>
    </row>
    <row r="18" spans="1:16" hidden="1" x14ac:dyDescent="0.35">
      <c r="A18" s="4" t="s">
        <v>688</v>
      </c>
      <c r="B18" s="100" t="s">
        <v>164</v>
      </c>
      <c r="C18" s="4" t="s">
        <v>79</v>
      </c>
      <c r="D18" s="4">
        <v>31</v>
      </c>
      <c r="E18" s="4" t="s">
        <v>85</v>
      </c>
      <c r="F18" s="4" t="s">
        <v>98</v>
      </c>
      <c r="G18" s="4">
        <v>3</v>
      </c>
      <c r="H18" s="4">
        <v>9</v>
      </c>
      <c r="I18" s="4" t="s">
        <v>527</v>
      </c>
      <c r="J18" s="4" t="s">
        <v>690</v>
      </c>
      <c r="K18" s="85" t="s">
        <v>566</v>
      </c>
      <c r="L18" s="96" t="s">
        <v>691</v>
      </c>
      <c r="P18" s="51" t="b">
        <v>0</v>
      </c>
    </row>
    <row r="19" spans="1:16" hidden="1" x14ac:dyDescent="0.35">
      <c r="F19" s="53"/>
      <c r="P19" s="51" t="b">
        <v>0</v>
      </c>
    </row>
    <row r="20" spans="1:16" ht="43.5" hidden="1" x14ac:dyDescent="0.35">
      <c r="A20" s="4" t="s">
        <v>709</v>
      </c>
      <c r="B20" s="100" t="s">
        <v>172</v>
      </c>
      <c r="C20" s="4" t="s">
        <v>710</v>
      </c>
      <c r="D20" s="4">
        <v>35</v>
      </c>
      <c r="E20" s="4" t="s">
        <v>91</v>
      </c>
      <c r="F20" s="4" t="s">
        <v>86</v>
      </c>
      <c r="G20" s="4">
        <v>2</v>
      </c>
      <c r="H20" s="4" t="s">
        <v>711</v>
      </c>
      <c r="I20" s="50" t="s">
        <v>712</v>
      </c>
      <c r="J20" s="4" t="s">
        <v>713</v>
      </c>
      <c r="P20" s="51" t="b">
        <v>0</v>
      </c>
    </row>
    <row r="21" spans="1:16" ht="29" hidden="1" x14ac:dyDescent="0.35">
      <c r="A21" s="4" t="s">
        <v>709</v>
      </c>
      <c r="B21" s="100" t="s">
        <v>172</v>
      </c>
      <c r="C21" s="4" t="s">
        <v>710</v>
      </c>
      <c r="D21" s="4">
        <v>35</v>
      </c>
      <c r="E21" s="4" t="s">
        <v>91</v>
      </c>
      <c r="F21" s="4" t="s">
        <v>86</v>
      </c>
      <c r="G21" s="4">
        <v>2</v>
      </c>
      <c r="H21" s="4">
        <v>11</v>
      </c>
      <c r="I21" s="50" t="s">
        <v>714</v>
      </c>
      <c r="J21" s="4" t="s">
        <v>713</v>
      </c>
      <c r="P21" s="51" t="b">
        <v>0</v>
      </c>
    </row>
    <row r="22" spans="1:16" ht="43.5" hidden="1" x14ac:dyDescent="0.35">
      <c r="A22" s="4" t="s">
        <v>709</v>
      </c>
      <c r="B22" s="100" t="s">
        <v>172</v>
      </c>
      <c r="C22" s="4" t="s">
        <v>715</v>
      </c>
      <c r="D22" s="4">
        <v>35</v>
      </c>
      <c r="E22" s="4" t="s">
        <v>91</v>
      </c>
      <c r="F22" s="4" t="s">
        <v>92</v>
      </c>
      <c r="G22" s="4">
        <v>2</v>
      </c>
      <c r="H22" s="4" t="s">
        <v>711</v>
      </c>
      <c r="I22" s="50" t="s">
        <v>712</v>
      </c>
      <c r="J22" s="4" t="s">
        <v>713</v>
      </c>
      <c r="P22" s="51" t="b">
        <v>0</v>
      </c>
    </row>
    <row r="23" spans="1:16" ht="29" hidden="1" x14ac:dyDescent="0.35">
      <c r="A23" s="4" t="s">
        <v>709</v>
      </c>
      <c r="B23" s="100" t="s">
        <v>172</v>
      </c>
      <c r="C23" s="4" t="s">
        <v>715</v>
      </c>
      <c r="D23" s="4">
        <v>35</v>
      </c>
      <c r="E23" s="4" t="s">
        <v>91</v>
      </c>
      <c r="F23" s="4" t="s">
        <v>92</v>
      </c>
      <c r="G23" s="4">
        <v>2</v>
      </c>
      <c r="H23" s="4">
        <v>11</v>
      </c>
      <c r="I23" s="50" t="s">
        <v>714</v>
      </c>
      <c r="J23" s="4" t="s">
        <v>713</v>
      </c>
      <c r="P23" s="51" t="b">
        <v>0</v>
      </c>
    </row>
    <row r="24" spans="1:16" ht="43.5" hidden="1" x14ac:dyDescent="0.35">
      <c r="A24" s="4" t="s">
        <v>716</v>
      </c>
      <c r="B24" s="100" t="s">
        <v>172</v>
      </c>
      <c r="C24" s="4" t="s">
        <v>717</v>
      </c>
      <c r="D24" s="4">
        <v>40</v>
      </c>
      <c r="E24" s="4" t="s">
        <v>91</v>
      </c>
      <c r="F24" s="4" t="s">
        <v>86</v>
      </c>
      <c r="G24" s="4">
        <v>2</v>
      </c>
      <c r="H24" s="4" t="s">
        <v>711</v>
      </c>
      <c r="I24" s="50" t="s">
        <v>712</v>
      </c>
      <c r="J24" s="4" t="s">
        <v>524</v>
      </c>
      <c r="P24" s="51" t="b">
        <v>0</v>
      </c>
    </row>
    <row r="25" spans="1:16" ht="29" hidden="1" x14ac:dyDescent="0.35">
      <c r="A25" s="4" t="s">
        <v>716</v>
      </c>
      <c r="B25" s="100" t="s">
        <v>172</v>
      </c>
      <c r="C25" s="4" t="s">
        <v>717</v>
      </c>
      <c r="D25" s="4">
        <v>40</v>
      </c>
      <c r="E25" s="4" t="s">
        <v>91</v>
      </c>
      <c r="F25" s="4" t="s">
        <v>86</v>
      </c>
      <c r="G25" s="4">
        <v>2</v>
      </c>
      <c r="H25" s="4">
        <v>11</v>
      </c>
      <c r="I25" s="50" t="s">
        <v>718</v>
      </c>
      <c r="J25" s="4" t="s">
        <v>524</v>
      </c>
      <c r="P25" s="51" t="b">
        <v>0</v>
      </c>
    </row>
    <row r="26" spans="1:16" ht="43.5" hidden="1" x14ac:dyDescent="0.35">
      <c r="A26" s="4" t="s">
        <v>716</v>
      </c>
      <c r="B26" s="100" t="s">
        <v>172</v>
      </c>
      <c r="C26" s="4" t="s">
        <v>719</v>
      </c>
      <c r="D26" s="4">
        <v>40</v>
      </c>
      <c r="E26" s="4" t="s">
        <v>91</v>
      </c>
      <c r="F26" s="4" t="s">
        <v>92</v>
      </c>
      <c r="G26" s="4">
        <v>2</v>
      </c>
      <c r="H26" s="4" t="s">
        <v>711</v>
      </c>
      <c r="I26" s="50" t="s">
        <v>712</v>
      </c>
      <c r="J26" s="4" t="s">
        <v>524</v>
      </c>
      <c r="P26" s="51" t="b">
        <v>0</v>
      </c>
    </row>
    <row r="27" spans="1:16" ht="29" hidden="1" x14ac:dyDescent="0.35">
      <c r="A27" s="4" t="s">
        <v>716</v>
      </c>
      <c r="B27" s="100" t="s">
        <v>172</v>
      </c>
      <c r="C27" s="4" t="s">
        <v>719</v>
      </c>
      <c r="D27" s="4">
        <v>40</v>
      </c>
      <c r="E27" s="4" t="s">
        <v>91</v>
      </c>
      <c r="F27" s="4" t="s">
        <v>92</v>
      </c>
      <c r="G27" s="4">
        <v>2</v>
      </c>
      <c r="H27" s="4">
        <v>11</v>
      </c>
      <c r="I27" s="50" t="s">
        <v>718</v>
      </c>
      <c r="J27" s="4" t="s">
        <v>524</v>
      </c>
      <c r="P27" s="51" t="b">
        <v>0</v>
      </c>
    </row>
    <row r="28" spans="1:16" ht="43.5" hidden="1" x14ac:dyDescent="0.35">
      <c r="A28" s="4" t="s">
        <v>720</v>
      </c>
      <c r="B28" s="100" t="s">
        <v>172</v>
      </c>
      <c r="C28" s="4" t="s">
        <v>721</v>
      </c>
      <c r="D28" s="4">
        <v>32</v>
      </c>
      <c r="E28" s="4" t="s">
        <v>82</v>
      </c>
      <c r="F28" s="4" t="s">
        <v>76</v>
      </c>
      <c r="G28" s="4">
        <v>2</v>
      </c>
      <c r="H28" s="4" t="s">
        <v>743</v>
      </c>
      <c r="I28" s="50" t="s">
        <v>712</v>
      </c>
      <c r="J28" s="4" t="s">
        <v>722</v>
      </c>
      <c r="P28" s="51" t="b">
        <v>0</v>
      </c>
    </row>
    <row r="29" spans="1:16" ht="43.5" x14ac:dyDescent="0.35">
      <c r="A29" s="4" t="s">
        <v>720</v>
      </c>
      <c r="B29" s="100" t="s">
        <v>172</v>
      </c>
      <c r="C29" s="4" t="s">
        <v>721</v>
      </c>
      <c r="D29" s="4">
        <v>32</v>
      </c>
      <c r="E29" s="4" t="s">
        <v>82</v>
      </c>
      <c r="F29" s="4" t="s">
        <v>76</v>
      </c>
      <c r="G29" s="4">
        <v>2</v>
      </c>
      <c r="H29" s="4">
        <v>12</v>
      </c>
      <c r="I29" s="50" t="s">
        <v>712</v>
      </c>
      <c r="J29" s="4" t="s">
        <v>722</v>
      </c>
      <c r="K29" s="4" t="s">
        <v>741</v>
      </c>
      <c r="P29" s="51" t="b">
        <v>0</v>
      </c>
    </row>
    <row r="30" spans="1:16" ht="29" hidden="1" x14ac:dyDescent="0.35">
      <c r="A30" s="4" t="s">
        <v>720</v>
      </c>
      <c r="B30" s="100" t="s">
        <v>172</v>
      </c>
      <c r="C30" s="4" t="s">
        <v>721</v>
      </c>
      <c r="D30" s="4">
        <v>32</v>
      </c>
      <c r="E30" s="4" t="s">
        <v>82</v>
      </c>
      <c r="F30" s="4" t="s">
        <v>76</v>
      </c>
      <c r="G30" s="4">
        <v>2</v>
      </c>
      <c r="H30" s="4">
        <v>11</v>
      </c>
      <c r="I30" s="50" t="s">
        <v>723</v>
      </c>
      <c r="J30" s="4" t="s">
        <v>722</v>
      </c>
      <c r="P30" s="51" t="b">
        <v>0</v>
      </c>
    </row>
    <row r="31" spans="1:16" ht="43.5" hidden="1" x14ac:dyDescent="0.35">
      <c r="A31" s="4" t="s">
        <v>720</v>
      </c>
      <c r="B31" s="100" t="s">
        <v>172</v>
      </c>
      <c r="C31" s="4" t="s">
        <v>724</v>
      </c>
      <c r="D31" s="4">
        <v>33</v>
      </c>
      <c r="E31" s="4" t="s">
        <v>82</v>
      </c>
      <c r="F31" s="4" t="s">
        <v>110</v>
      </c>
      <c r="G31" s="4">
        <v>2</v>
      </c>
      <c r="H31" s="4" t="s">
        <v>711</v>
      </c>
      <c r="I31" s="50" t="s">
        <v>712</v>
      </c>
      <c r="J31" s="4" t="s">
        <v>722</v>
      </c>
      <c r="P31" s="51" t="b">
        <v>0</v>
      </c>
    </row>
    <row r="32" spans="1:16" ht="29" hidden="1" x14ac:dyDescent="0.35">
      <c r="A32" s="4" t="s">
        <v>720</v>
      </c>
      <c r="B32" s="100" t="s">
        <v>172</v>
      </c>
      <c r="C32" s="4" t="s">
        <v>724</v>
      </c>
      <c r="D32" s="4">
        <v>33</v>
      </c>
      <c r="E32" s="4" t="s">
        <v>82</v>
      </c>
      <c r="F32" s="4" t="s">
        <v>110</v>
      </c>
      <c r="G32" s="4">
        <v>2</v>
      </c>
      <c r="H32" s="4">
        <v>11</v>
      </c>
      <c r="I32" s="50" t="s">
        <v>723</v>
      </c>
      <c r="J32" s="4" t="s">
        <v>722</v>
      </c>
      <c r="P32" s="51" t="b">
        <v>0</v>
      </c>
    </row>
    <row r="33" spans="1:16" ht="43.5" hidden="1" x14ac:dyDescent="0.35">
      <c r="A33" s="4" t="s">
        <v>725</v>
      </c>
      <c r="B33" s="100" t="s">
        <v>172</v>
      </c>
      <c r="C33" s="4" t="s">
        <v>726</v>
      </c>
      <c r="D33" s="4">
        <v>50</v>
      </c>
      <c r="E33" s="4" t="s">
        <v>82</v>
      </c>
      <c r="F33" s="4" t="s">
        <v>76</v>
      </c>
      <c r="G33" s="4">
        <v>2</v>
      </c>
      <c r="H33" s="4" t="s">
        <v>711</v>
      </c>
      <c r="I33" s="50" t="s">
        <v>712</v>
      </c>
      <c r="J33" s="4" t="s">
        <v>727</v>
      </c>
      <c r="P33" s="51" t="b">
        <v>0</v>
      </c>
    </row>
    <row r="34" spans="1:16" ht="29" hidden="1" x14ac:dyDescent="0.35">
      <c r="A34" s="4" t="s">
        <v>725</v>
      </c>
      <c r="B34" s="100" t="s">
        <v>172</v>
      </c>
      <c r="C34" s="4" t="s">
        <v>726</v>
      </c>
      <c r="D34" s="4">
        <v>50</v>
      </c>
      <c r="E34" s="4" t="s">
        <v>82</v>
      </c>
      <c r="F34" s="4" t="s">
        <v>76</v>
      </c>
      <c r="G34" s="4">
        <v>2</v>
      </c>
      <c r="H34" s="4">
        <v>11</v>
      </c>
      <c r="I34" s="50" t="s">
        <v>728</v>
      </c>
      <c r="J34" s="4" t="s">
        <v>727</v>
      </c>
      <c r="P34" s="51" t="b">
        <v>0</v>
      </c>
    </row>
    <row r="35" spans="1:16" ht="43.5" hidden="1" x14ac:dyDescent="0.35">
      <c r="A35" s="4" t="s">
        <v>725</v>
      </c>
      <c r="B35" s="100" t="s">
        <v>172</v>
      </c>
      <c r="C35" s="4" t="s">
        <v>729</v>
      </c>
      <c r="D35" s="4">
        <v>50</v>
      </c>
      <c r="E35" s="4" t="s">
        <v>82</v>
      </c>
      <c r="F35" s="4" t="s">
        <v>110</v>
      </c>
      <c r="G35" s="4">
        <v>2</v>
      </c>
      <c r="H35" s="4" t="s">
        <v>711</v>
      </c>
      <c r="I35" s="50" t="s">
        <v>712</v>
      </c>
      <c r="J35" s="4" t="s">
        <v>727</v>
      </c>
      <c r="P35" s="51" t="b">
        <v>0</v>
      </c>
    </row>
    <row r="36" spans="1:16" ht="29" hidden="1" x14ac:dyDescent="0.35">
      <c r="A36" s="4" t="s">
        <v>725</v>
      </c>
      <c r="B36" s="100" t="s">
        <v>172</v>
      </c>
      <c r="C36" s="4" t="s">
        <v>729</v>
      </c>
      <c r="D36" s="4">
        <v>50</v>
      </c>
      <c r="E36" s="4" t="s">
        <v>82</v>
      </c>
      <c r="F36" s="4" t="s">
        <v>110</v>
      </c>
      <c r="G36" s="4">
        <v>2</v>
      </c>
      <c r="H36" s="4">
        <v>11</v>
      </c>
      <c r="I36" s="50" t="s">
        <v>728</v>
      </c>
      <c r="J36" s="4" t="s">
        <v>727</v>
      </c>
      <c r="P36" s="51" t="b">
        <v>0</v>
      </c>
    </row>
    <row r="37" spans="1:16" hidden="1" x14ac:dyDescent="0.35">
      <c r="P37" s="51" t="b">
        <v>0</v>
      </c>
    </row>
    <row r="38" spans="1:16" hidden="1" x14ac:dyDescent="0.35">
      <c r="P38" s="51" t="b">
        <v>0</v>
      </c>
    </row>
    <row r="39" spans="1:16" hidden="1" x14ac:dyDescent="0.35">
      <c r="P39" s="51" t="b">
        <v>0</v>
      </c>
    </row>
    <row r="40" spans="1:16" hidden="1" x14ac:dyDescent="0.35">
      <c r="P40" s="51" t="b">
        <v>0</v>
      </c>
    </row>
    <row r="41" spans="1:16" hidden="1" x14ac:dyDescent="0.35">
      <c r="P41" s="51" t="b">
        <v>0</v>
      </c>
    </row>
    <row r="42" spans="1:16" hidden="1" x14ac:dyDescent="0.35">
      <c r="P42" s="51" t="b">
        <v>0</v>
      </c>
    </row>
    <row r="43" spans="1:16" hidden="1" x14ac:dyDescent="0.35">
      <c r="P43" s="51" t="b">
        <v>0</v>
      </c>
    </row>
    <row r="44" spans="1:16" hidden="1" x14ac:dyDescent="0.35">
      <c r="P44" s="51" t="b">
        <v>0</v>
      </c>
    </row>
    <row r="45" spans="1:16" hidden="1" x14ac:dyDescent="0.35">
      <c r="P45" s="51" t="b">
        <v>0</v>
      </c>
    </row>
    <row r="46" spans="1:16" hidden="1" x14ac:dyDescent="0.35">
      <c r="P46" s="51" t="b">
        <v>0</v>
      </c>
    </row>
    <row r="47" spans="1:16" hidden="1" x14ac:dyDescent="0.35">
      <c r="P47" s="51" t="b">
        <v>0</v>
      </c>
    </row>
    <row r="48" spans="1:16" hidden="1" x14ac:dyDescent="0.35">
      <c r="P48" s="51" t="b">
        <v>0</v>
      </c>
    </row>
    <row r="49" spans="16:16" hidden="1" x14ac:dyDescent="0.35">
      <c r="P49" s="51" t="b">
        <v>0</v>
      </c>
    </row>
    <row r="50" spans="16:16" hidden="1" x14ac:dyDescent="0.35">
      <c r="P50" s="51" t="b">
        <v>0</v>
      </c>
    </row>
    <row r="51" spans="16:16" hidden="1" x14ac:dyDescent="0.35">
      <c r="P51" s="51" t="b">
        <v>0</v>
      </c>
    </row>
    <row r="52" spans="16:16" hidden="1" x14ac:dyDescent="0.35">
      <c r="P52" s="51" t="b">
        <v>0</v>
      </c>
    </row>
    <row r="53" spans="16:16" hidden="1" x14ac:dyDescent="0.35">
      <c r="P53" s="51" t="b">
        <v>0</v>
      </c>
    </row>
    <row r="54" spans="16:16" hidden="1" x14ac:dyDescent="0.35">
      <c r="P54" s="51" t="b">
        <v>0</v>
      </c>
    </row>
    <row r="55" spans="16:16" hidden="1" x14ac:dyDescent="0.35">
      <c r="P55" s="51" t="b">
        <v>0</v>
      </c>
    </row>
    <row r="56" spans="16:16" hidden="1" x14ac:dyDescent="0.35">
      <c r="P56" s="51" t="b">
        <v>0</v>
      </c>
    </row>
    <row r="57" spans="16:16" hidden="1" x14ac:dyDescent="0.35">
      <c r="P57" s="51" t="b">
        <v>0</v>
      </c>
    </row>
    <row r="58" spans="16:16" hidden="1" x14ac:dyDescent="0.35">
      <c r="P58" s="51" t="b">
        <v>0</v>
      </c>
    </row>
    <row r="59" spans="16:16" hidden="1" x14ac:dyDescent="0.35">
      <c r="P59" s="51" t="b">
        <v>0</v>
      </c>
    </row>
    <row r="60" spans="16:16" hidden="1" x14ac:dyDescent="0.35">
      <c r="P60" s="51" t="b">
        <v>0</v>
      </c>
    </row>
    <row r="61" spans="16:16" hidden="1" x14ac:dyDescent="0.35">
      <c r="P61" s="51" t="b">
        <v>0</v>
      </c>
    </row>
    <row r="62" spans="16:16" hidden="1" x14ac:dyDescent="0.35">
      <c r="P62" s="51" t="b">
        <v>0</v>
      </c>
    </row>
    <row r="63" spans="16:16" hidden="1" x14ac:dyDescent="0.35">
      <c r="P63" s="51" t="b">
        <v>0</v>
      </c>
    </row>
    <row r="64" spans="16:16" hidden="1" x14ac:dyDescent="0.35">
      <c r="P64" s="51" t="b">
        <v>0</v>
      </c>
    </row>
    <row r="65" spans="16:16" hidden="1" x14ac:dyDescent="0.35">
      <c r="P65" s="51" t="b">
        <v>0</v>
      </c>
    </row>
    <row r="66" spans="16:16" hidden="1" x14ac:dyDescent="0.35">
      <c r="P66" s="51" t="b">
        <v>0</v>
      </c>
    </row>
    <row r="67" spans="16:16" hidden="1" x14ac:dyDescent="0.35">
      <c r="P67" s="51" t="b">
        <v>0</v>
      </c>
    </row>
    <row r="68" spans="16:16" hidden="1" x14ac:dyDescent="0.35">
      <c r="P68" s="51" t="b">
        <v>0</v>
      </c>
    </row>
    <row r="69" spans="16:16" hidden="1" x14ac:dyDescent="0.35">
      <c r="P69" s="51" t="b">
        <v>0</v>
      </c>
    </row>
    <row r="70" spans="16:16" hidden="1" x14ac:dyDescent="0.35">
      <c r="P70" s="51" t="b">
        <v>0</v>
      </c>
    </row>
    <row r="71" spans="16:16" hidden="1" x14ac:dyDescent="0.35">
      <c r="P71" s="51" t="b">
        <v>0</v>
      </c>
    </row>
    <row r="72" spans="16:16" hidden="1" x14ac:dyDescent="0.35">
      <c r="P72" s="51" t="b">
        <v>0</v>
      </c>
    </row>
    <row r="73" spans="16:16" hidden="1" x14ac:dyDescent="0.35">
      <c r="P73" s="51" t="b">
        <v>0</v>
      </c>
    </row>
    <row r="74" spans="16:16" hidden="1" x14ac:dyDescent="0.35">
      <c r="P74" s="51" t="b">
        <v>0</v>
      </c>
    </row>
    <row r="75" spans="16:16" hidden="1" x14ac:dyDescent="0.35">
      <c r="P75" s="51" t="b">
        <v>0</v>
      </c>
    </row>
    <row r="76" spans="16:16" hidden="1" x14ac:dyDescent="0.35">
      <c r="P76" s="51" t="b">
        <v>0</v>
      </c>
    </row>
    <row r="77" spans="16:16" hidden="1" x14ac:dyDescent="0.35">
      <c r="P77" s="51" t="b">
        <v>0</v>
      </c>
    </row>
    <row r="78" spans="16:16" hidden="1" x14ac:dyDescent="0.35">
      <c r="P78" s="51" t="b">
        <v>0</v>
      </c>
    </row>
    <row r="79" spans="16:16" hidden="1" x14ac:dyDescent="0.35">
      <c r="P79" s="51" t="b">
        <v>0</v>
      </c>
    </row>
    <row r="80" spans="16:16" hidden="1" x14ac:dyDescent="0.35">
      <c r="P80" s="51" t="b">
        <v>0</v>
      </c>
    </row>
    <row r="81" spans="16:16" hidden="1" x14ac:dyDescent="0.35">
      <c r="P81" s="51" t="b">
        <v>0</v>
      </c>
    </row>
    <row r="82" spans="16:16" hidden="1" x14ac:dyDescent="0.35">
      <c r="P82" s="51" t="b">
        <v>0</v>
      </c>
    </row>
    <row r="83" spans="16:16" hidden="1" x14ac:dyDescent="0.35">
      <c r="P83" s="51" t="b">
        <v>0</v>
      </c>
    </row>
    <row r="84" spans="16:16" hidden="1" x14ac:dyDescent="0.35">
      <c r="P84" s="51" t="b">
        <v>0</v>
      </c>
    </row>
    <row r="85" spans="16:16" hidden="1" x14ac:dyDescent="0.35">
      <c r="P85" s="51" t="b">
        <v>0</v>
      </c>
    </row>
    <row r="86" spans="16:16" hidden="1" x14ac:dyDescent="0.35">
      <c r="P86" s="51" t="b">
        <v>0</v>
      </c>
    </row>
  </sheetData>
  <autoFilter ref="A2:Q86" xr:uid="{3EF60B5D-E227-4709-847D-638C67FC93F6}">
    <filterColumn colId="10">
      <filters>
        <filter val="NG KOK CHAN (DERIC)"/>
      </filters>
    </filterColumn>
  </autoFilter>
  <dataValidations count="2">
    <dataValidation type="list" allowBlank="1" showInputMessage="1" showErrorMessage="1" sqref="J87:J1048576" xr:uid="{22CC372D-81E0-4011-BCD2-6A355E5A202E}">
      <formula1>$B$3:$B$320</formula1>
    </dataValidation>
    <dataValidation type="list" allowBlank="1" showInputMessage="1" showErrorMessage="1" sqref="N87:N1048576 O13:O1048576 O9" xr:uid="{9C0BB0BC-2D03-422B-A9A2-882879F32291}">
      <formula1>#REF!</formula1>
    </dataValidation>
  </dataValidation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BAE1-8C09-4357-8DF0-59D4572A7B01}">
  <dimension ref="A1:Q131"/>
  <sheetViews>
    <sheetView zoomScaleNormal="100" workbookViewId="0">
      <selection activeCell="A7" sqref="A7:XFD8"/>
    </sheetView>
  </sheetViews>
  <sheetFormatPr defaultColWidth="8.81640625" defaultRowHeight="14.5" x14ac:dyDescent="0.35"/>
  <cols>
    <col min="1" max="1" width="8.453125" style="4" customWidth="1"/>
    <col min="2" max="2" width="12.54296875" style="4" bestFit="1" customWidth="1"/>
    <col min="3" max="3" width="10.54296875" style="4" customWidth="1"/>
    <col min="4" max="4" width="9.453125" style="4" customWidth="1"/>
    <col min="5" max="6" width="12.54296875" style="4" customWidth="1"/>
    <col min="7" max="7" width="20.81640625" style="4" bestFit="1" customWidth="1"/>
    <col min="8" max="8" width="22.6328125" style="4" bestFit="1" customWidth="1"/>
    <col min="9" max="9" width="45.1796875" style="4" customWidth="1"/>
    <col min="10" max="10" width="23" style="4" bestFit="1" customWidth="1"/>
    <col min="11" max="11" width="25.08984375" style="4" bestFit="1" customWidth="1"/>
    <col min="12" max="12" width="25.453125" style="4" customWidth="1"/>
    <col min="13" max="13" width="27.1796875" style="4" customWidth="1"/>
    <col min="14" max="14" width="28.453125" style="4" bestFit="1" customWidth="1"/>
    <col min="15" max="15" width="12.81640625" style="4" customWidth="1"/>
    <col min="16" max="17" width="20.81640625" style="47" customWidth="1"/>
    <col min="18" max="16384" width="8.81640625" style="47"/>
  </cols>
  <sheetData>
    <row r="1" spans="1:17" ht="60" customHeight="1" x14ac:dyDescent="0.35">
      <c r="A1" s="24"/>
      <c r="G1" s="44" t="s">
        <v>37</v>
      </c>
      <c r="P1" s="45" t="s">
        <v>38</v>
      </c>
      <c r="Q1" s="46" t="s">
        <v>39</v>
      </c>
    </row>
    <row r="2" spans="1:17" s="61" customFormat="1" x14ac:dyDescent="0.35">
      <c r="A2" s="64" t="s">
        <v>1</v>
      </c>
      <c r="B2" s="64" t="s">
        <v>41</v>
      </c>
      <c r="C2" s="64" t="s">
        <v>42</v>
      </c>
      <c r="D2" s="64" t="s">
        <v>43</v>
      </c>
      <c r="E2" s="64" t="s">
        <v>44</v>
      </c>
      <c r="F2" s="64" t="s">
        <v>45</v>
      </c>
      <c r="G2" s="64" t="s">
        <v>46</v>
      </c>
      <c r="H2" s="64" t="s">
        <v>47</v>
      </c>
      <c r="I2" s="64" t="s">
        <v>48</v>
      </c>
      <c r="J2" s="64" t="s">
        <v>49</v>
      </c>
      <c r="K2" s="64" t="s">
        <v>50</v>
      </c>
      <c r="L2" s="64" t="s">
        <v>51</v>
      </c>
      <c r="M2" s="64" t="s">
        <v>52</v>
      </c>
      <c r="N2" s="64" t="s">
        <v>53</v>
      </c>
      <c r="O2" s="64" t="s">
        <v>54</v>
      </c>
      <c r="P2" s="78" t="s">
        <v>55</v>
      </c>
    </row>
    <row r="3" spans="1:17" s="61" customFormat="1" x14ac:dyDescent="0.35">
      <c r="A3" s="52" t="s">
        <v>731</v>
      </c>
      <c r="B3" s="104" t="s">
        <v>732</v>
      </c>
      <c r="C3" s="52" t="s">
        <v>74</v>
      </c>
      <c r="D3" s="52">
        <v>50</v>
      </c>
      <c r="E3" s="52" t="s">
        <v>82</v>
      </c>
      <c r="F3" s="52" t="s">
        <v>86</v>
      </c>
      <c r="G3" s="52">
        <v>3</v>
      </c>
      <c r="H3" s="52" t="s">
        <v>733</v>
      </c>
      <c r="I3" s="52" t="s">
        <v>734</v>
      </c>
      <c r="J3" s="52" t="s">
        <v>628</v>
      </c>
      <c r="K3" s="52" t="s">
        <v>638</v>
      </c>
      <c r="L3" s="52"/>
      <c r="M3" s="52"/>
      <c r="N3" s="52"/>
      <c r="O3" s="52"/>
      <c r="P3" s="60" t="b">
        <v>0</v>
      </c>
    </row>
    <row r="4" spans="1:17" s="61" customFormat="1" x14ac:dyDescent="0.35">
      <c r="A4" s="52" t="s">
        <v>731</v>
      </c>
      <c r="B4" s="104" t="s">
        <v>732</v>
      </c>
      <c r="C4" s="52" t="s">
        <v>79</v>
      </c>
      <c r="D4" s="52">
        <v>50</v>
      </c>
      <c r="E4" s="52" t="s">
        <v>82</v>
      </c>
      <c r="F4" s="52" t="s">
        <v>76</v>
      </c>
      <c r="G4" s="52">
        <v>3</v>
      </c>
      <c r="H4" s="52" t="s">
        <v>733</v>
      </c>
      <c r="I4" s="52" t="s">
        <v>734</v>
      </c>
      <c r="J4" s="52" t="s">
        <v>628</v>
      </c>
      <c r="K4" s="52" t="s">
        <v>638</v>
      </c>
      <c r="L4" s="52"/>
      <c r="M4" s="52"/>
      <c r="N4" s="52"/>
      <c r="O4" s="52"/>
      <c r="P4" s="60" t="b">
        <v>0</v>
      </c>
    </row>
    <row r="5" spans="1:17" s="61" customFormat="1" x14ac:dyDescent="0.35">
      <c r="A5" s="52" t="s">
        <v>731</v>
      </c>
      <c r="B5" s="104" t="s">
        <v>732</v>
      </c>
      <c r="C5" s="52" t="s">
        <v>74</v>
      </c>
      <c r="D5" s="52">
        <v>50</v>
      </c>
      <c r="E5" s="52" t="s">
        <v>82</v>
      </c>
      <c r="F5" s="52" t="s">
        <v>86</v>
      </c>
      <c r="G5" s="52">
        <v>3</v>
      </c>
      <c r="H5" s="52">
        <v>2</v>
      </c>
      <c r="I5" s="52" t="s">
        <v>735</v>
      </c>
      <c r="J5" s="52" t="s">
        <v>628</v>
      </c>
      <c r="K5" s="52" t="s">
        <v>638</v>
      </c>
      <c r="L5" s="52"/>
      <c r="M5" s="52"/>
      <c r="N5" s="52"/>
      <c r="O5" s="52"/>
      <c r="P5" s="60" t="b">
        <v>0</v>
      </c>
    </row>
    <row r="6" spans="1:17" s="61" customFormat="1" x14ac:dyDescent="0.35">
      <c r="A6" s="52" t="s">
        <v>731</v>
      </c>
      <c r="B6" s="104" t="s">
        <v>732</v>
      </c>
      <c r="C6" s="52" t="s">
        <v>79</v>
      </c>
      <c r="D6" s="52">
        <v>50</v>
      </c>
      <c r="E6" s="52" t="s">
        <v>82</v>
      </c>
      <c r="F6" s="52" t="s">
        <v>76</v>
      </c>
      <c r="G6" s="52">
        <v>3</v>
      </c>
      <c r="H6" s="52">
        <v>2</v>
      </c>
      <c r="I6" s="85" t="s">
        <v>735</v>
      </c>
      <c r="J6" s="52" t="s">
        <v>628</v>
      </c>
      <c r="K6" s="52" t="s">
        <v>638</v>
      </c>
      <c r="L6" s="52"/>
      <c r="M6" s="52"/>
      <c r="N6" s="52"/>
      <c r="O6" s="52"/>
      <c r="P6" s="60" t="b">
        <v>0</v>
      </c>
    </row>
    <row r="7" spans="1:17" s="61" customFormat="1" x14ac:dyDescent="0.35">
      <c r="A7" s="52" t="s">
        <v>731</v>
      </c>
      <c r="B7" s="104" t="s">
        <v>736</v>
      </c>
      <c r="C7" s="52" t="s">
        <v>79</v>
      </c>
      <c r="D7" s="52">
        <v>50</v>
      </c>
      <c r="E7" s="52" t="s">
        <v>82</v>
      </c>
      <c r="F7" s="52" t="s">
        <v>86</v>
      </c>
      <c r="G7" s="52">
        <v>3</v>
      </c>
      <c r="H7" s="52" t="s">
        <v>737</v>
      </c>
      <c r="I7" s="52" t="s">
        <v>545</v>
      </c>
      <c r="J7" s="52" t="s">
        <v>653</v>
      </c>
      <c r="K7" s="52" t="s">
        <v>610</v>
      </c>
      <c r="L7" s="52"/>
      <c r="M7" s="52"/>
      <c r="N7" s="52"/>
      <c r="O7" s="52"/>
      <c r="P7" s="60" t="b">
        <v>0</v>
      </c>
    </row>
    <row r="8" spans="1:17" s="61" customFormat="1" x14ac:dyDescent="0.35">
      <c r="A8" s="52" t="s">
        <v>731</v>
      </c>
      <c r="B8" s="104" t="s">
        <v>736</v>
      </c>
      <c r="C8" s="52" t="s">
        <v>74</v>
      </c>
      <c r="D8" s="52">
        <v>50</v>
      </c>
      <c r="E8" s="52" t="s">
        <v>82</v>
      </c>
      <c r="F8" s="52" t="s">
        <v>76</v>
      </c>
      <c r="G8" s="52">
        <v>3</v>
      </c>
      <c r="H8" s="52" t="s">
        <v>737</v>
      </c>
      <c r="I8" s="85" t="s">
        <v>545</v>
      </c>
      <c r="J8" s="52" t="s">
        <v>653</v>
      </c>
      <c r="K8" s="52" t="s">
        <v>610</v>
      </c>
      <c r="L8" s="52"/>
      <c r="M8" s="52"/>
      <c r="N8" s="52"/>
      <c r="O8" s="52"/>
      <c r="P8" s="60" t="b">
        <v>0</v>
      </c>
    </row>
    <row r="9" spans="1:17" s="61" customFormat="1" x14ac:dyDescent="0.35">
      <c r="A9" s="52" t="s">
        <v>731</v>
      </c>
      <c r="B9" s="104" t="s">
        <v>738</v>
      </c>
      <c r="C9" s="52" t="s">
        <v>739</v>
      </c>
      <c r="D9" s="52">
        <v>100</v>
      </c>
      <c r="E9" s="52" t="s">
        <v>88</v>
      </c>
      <c r="F9" s="52" t="s">
        <v>76</v>
      </c>
      <c r="G9" s="52">
        <v>3</v>
      </c>
      <c r="H9" s="52" t="s">
        <v>557</v>
      </c>
      <c r="I9" s="52" t="s">
        <v>740</v>
      </c>
      <c r="J9" s="52" t="s">
        <v>741</v>
      </c>
      <c r="K9" s="52" t="s">
        <v>742</v>
      </c>
      <c r="L9" s="52"/>
      <c r="M9" s="52"/>
      <c r="N9" s="52"/>
      <c r="O9" s="52"/>
      <c r="P9" s="60" t="b">
        <v>0</v>
      </c>
    </row>
    <row r="10" spans="1:17" s="61" customFormat="1" x14ac:dyDescent="0.35">
      <c r="A10" s="52"/>
      <c r="B10" s="52"/>
      <c r="C10" s="52"/>
      <c r="D10" s="52"/>
      <c r="E10" s="52"/>
      <c r="F10" s="52"/>
      <c r="G10" s="52"/>
      <c r="H10" s="52"/>
      <c r="I10" s="62"/>
      <c r="J10" s="52"/>
      <c r="K10" s="52"/>
      <c r="L10" s="52"/>
      <c r="M10" s="52"/>
      <c r="N10" s="52"/>
      <c r="O10" s="52"/>
      <c r="P10" s="60" t="b">
        <v>0</v>
      </c>
    </row>
    <row r="11" spans="1:17" s="61" customFormat="1" x14ac:dyDescent="0.35">
      <c r="A11" s="52"/>
      <c r="B11" s="52"/>
      <c r="C11" s="52"/>
      <c r="D11" s="52"/>
      <c r="E11" s="52"/>
      <c r="F11" s="52"/>
      <c r="G11" s="52"/>
      <c r="H11" s="52"/>
      <c r="I11" s="62"/>
      <c r="J11" s="52"/>
      <c r="K11" s="52"/>
      <c r="L11" s="52"/>
      <c r="M11" s="52"/>
      <c r="N11" s="52"/>
      <c r="O11" s="52"/>
      <c r="P11" s="60" t="b">
        <v>0</v>
      </c>
    </row>
    <row r="12" spans="1:17" s="61" customFormat="1" x14ac:dyDescent="0.3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60" t="b">
        <v>0</v>
      </c>
    </row>
    <row r="13" spans="1:17" s="61" customFormat="1" x14ac:dyDescent="0.3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60" t="b">
        <v>0</v>
      </c>
    </row>
    <row r="14" spans="1:17" s="61" customFormat="1" x14ac:dyDescent="0.3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60" t="b">
        <v>0</v>
      </c>
    </row>
    <row r="15" spans="1:17" s="61" customFormat="1" x14ac:dyDescent="0.3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60" t="b">
        <v>0</v>
      </c>
    </row>
    <row r="16" spans="1:17" s="61" customFormat="1" x14ac:dyDescent="0.3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60" t="b">
        <v>0</v>
      </c>
    </row>
    <row r="17" spans="1:16" s="61" customFormat="1" x14ac:dyDescent="0.35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43"/>
      <c r="N17" s="52"/>
      <c r="O17" s="52"/>
      <c r="P17" s="60" t="b">
        <v>0</v>
      </c>
    </row>
    <row r="18" spans="1:16" s="61" customFormat="1" x14ac:dyDescent="0.35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43"/>
      <c r="N18" s="52"/>
      <c r="O18" s="52"/>
      <c r="P18" s="60" t="b">
        <v>0</v>
      </c>
    </row>
    <row r="19" spans="1:16" s="61" customFormat="1" x14ac:dyDescent="0.35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43"/>
      <c r="N19" s="52"/>
      <c r="O19" s="52"/>
      <c r="P19" s="60" t="b">
        <v>0</v>
      </c>
    </row>
    <row r="20" spans="1:16" s="61" customFormat="1" x14ac:dyDescent="0.35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43"/>
      <c r="N20" s="52"/>
      <c r="O20" s="52"/>
      <c r="P20" s="60" t="b">
        <v>0</v>
      </c>
    </row>
    <row r="21" spans="1:16" s="61" customFormat="1" x14ac:dyDescent="0.35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60" t="b">
        <v>0</v>
      </c>
    </row>
    <row r="22" spans="1:16" s="61" customFormat="1" x14ac:dyDescent="0.35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60" t="b">
        <v>0</v>
      </c>
    </row>
    <row r="23" spans="1:16" s="61" customFormat="1" x14ac:dyDescent="0.35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60" t="b">
        <v>0</v>
      </c>
    </row>
    <row r="24" spans="1:16" s="61" customFormat="1" x14ac:dyDescent="0.35">
      <c r="A24" s="52"/>
      <c r="B24" s="52"/>
      <c r="C24" s="52"/>
      <c r="D24" s="52"/>
      <c r="E24" s="52"/>
      <c r="F24" s="52"/>
      <c r="G24" s="52"/>
      <c r="H24" s="52"/>
      <c r="I24" s="63"/>
      <c r="J24" s="52"/>
      <c r="K24" s="52"/>
      <c r="L24" s="52"/>
      <c r="M24" s="52"/>
      <c r="N24" s="52"/>
      <c r="O24" s="52"/>
      <c r="P24" s="60" t="b">
        <v>0</v>
      </c>
    </row>
    <row r="25" spans="1:16" s="61" customFormat="1" x14ac:dyDescent="0.35">
      <c r="A25" s="52"/>
      <c r="B25" s="52"/>
      <c r="C25" s="52"/>
      <c r="D25" s="52"/>
      <c r="E25" s="52"/>
      <c r="F25" s="52"/>
      <c r="G25" s="52"/>
      <c r="H25" s="52"/>
      <c r="I25" s="63"/>
      <c r="J25" s="52"/>
      <c r="K25" s="52"/>
      <c r="L25" s="52"/>
      <c r="M25" s="52"/>
      <c r="N25" s="52"/>
      <c r="O25" s="52"/>
      <c r="P25" s="60" t="b">
        <v>0</v>
      </c>
    </row>
    <row r="26" spans="1:16" s="61" customFormat="1" x14ac:dyDescent="0.35">
      <c r="A26" s="52"/>
      <c r="B26" s="52"/>
      <c r="C26" s="52"/>
      <c r="D26" s="52"/>
      <c r="E26" s="52"/>
      <c r="F26" s="52"/>
      <c r="G26" s="52"/>
      <c r="H26" s="52"/>
      <c r="I26" s="63"/>
      <c r="J26" s="52"/>
      <c r="K26" s="52"/>
      <c r="L26" s="52"/>
      <c r="M26" s="52"/>
      <c r="N26" s="52"/>
      <c r="O26" s="52"/>
      <c r="P26" s="60" t="b">
        <v>0</v>
      </c>
    </row>
    <row r="27" spans="1:16" s="61" customFormat="1" x14ac:dyDescent="0.35">
      <c r="A27" s="52"/>
      <c r="B27" s="52"/>
      <c r="C27" s="52"/>
      <c r="D27" s="52"/>
      <c r="E27" s="52"/>
      <c r="F27" s="52"/>
      <c r="G27" s="52"/>
      <c r="H27" s="52"/>
      <c r="I27" s="63"/>
      <c r="J27" s="52"/>
      <c r="K27" s="52"/>
      <c r="L27" s="52"/>
      <c r="M27" s="52"/>
      <c r="N27" s="52"/>
      <c r="O27" s="52"/>
      <c r="P27" s="60" t="b">
        <v>0</v>
      </c>
    </row>
    <row r="28" spans="1:16" s="61" customFormat="1" x14ac:dyDescent="0.35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60" t="b">
        <v>0</v>
      </c>
    </row>
    <row r="29" spans="1:16" s="61" customFormat="1" x14ac:dyDescent="0.35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60" t="b">
        <v>0</v>
      </c>
    </row>
    <row r="30" spans="1:16" s="61" customFormat="1" x14ac:dyDescent="0.35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60" t="b">
        <v>0</v>
      </c>
    </row>
    <row r="31" spans="1:16" s="61" customFormat="1" x14ac:dyDescent="0.3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60" t="b">
        <v>0</v>
      </c>
    </row>
    <row r="32" spans="1:16" s="61" customFormat="1" x14ac:dyDescent="0.3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60" t="b">
        <v>0</v>
      </c>
    </row>
    <row r="33" spans="6:16" x14ac:dyDescent="0.35">
      <c r="P33" s="51" t="b">
        <v>0</v>
      </c>
    </row>
    <row r="34" spans="6:16" x14ac:dyDescent="0.35">
      <c r="P34" s="51" t="b">
        <v>0</v>
      </c>
    </row>
    <row r="35" spans="6:16" x14ac:dyDescent="0.35">
      <c r="P35" s="51" t="b">
        <v>0</v>
      </c>
    </row>
    <row r="36" spans="6:16" x14ac:dyDescent="0.35">
      <c r="P36" s="51" t="b">
        <v>0</v>
      </c>
    </row>
    <row r="37" spans="6:16" x14ac:dyDescent="0.35">
      <c r="P37" s="51" t="b">
        <v>0</v>
      </c>
    </row>
    <row r="38" spans="6:16" x14ac:dyDescent="0.35">
      <c r="P38" s="51" t="b">
        <v>0</v>
      </c>
    </row>
    <row r="39" spans="6:16" x14ac:dyDescent="0.35">
      <c r="P39" s="51" t="b">
        <v>0</v>
      </c>
    </row>
    <row r="40" spans="6:16" x14ac:dyDescent="0.35">
      <c r="F40" s="53"/>
      <c r="I40" s="3"/>
      <c r="P40" s="51" t="b">
        <v>0</v>
      </c>
    </row>
    <row r="41" spans="6:16" x14ac:dyDescent="0.35">
      <c r="I41" s="3"/>
      <c r="P41" s="51" t="b">
        <v>0</v>
      </c>
    </row>
    <row r="42" spans="6:16" x14ac:dyDescent="0.35">
      <c r="F42" s="53"/>
      <c r="I42" s="3"/>
      <c r="P42" s="51" t="b">
        <v>0</v>
      </c>
    </row>
    <row r="43" spans="6:16" x14ac:dyDescent="0.35">
      <c r="I43" s="3"/>
      <c r="P43" s="51" t="b">
        <v>0</v>
      </c>
    </row>
    <row r="44" spans="6:16" x14ac:dyDescent="0.35">
      <c r="F44" s="53"/>
      <c r="I44" s="3"/>
      <c r="P44" s="51" t="b">
        <v>0</v>
      </c>
    </row>
    <row r="45" spans="6:16" x14ac:dyDescent="0.35">
      <c r="I45" s="3"/>
      <c r="P45" s="51" t="b">
        <v>0</v>
      </c>
    </row>
    <row r="46" spans="6:16" x14ac:dyDescent="0.35">
      <c r="F46" s="53"/>
      <c r="I46" s="3"/>
      <c r="P46" s="51" t="b">
        <v>0</v>
      </c>
    </row>
    <row r="47" spans="6:16" x14ac:dyDescent="0.35">
      <c r="I47" s="3"/>
      <c r="P47" s="51" t="b">
        <v>0</v>
      </c>
    </row>
    <row r="48" spans="6:16" x14ac:dyDescent="0.35">
      <c r="F48" s="53"/>
      <c r="I48" s="3"/>
      <c r="P48" s="51" t="b">
        <v>0</v>
      </c>
    </row>
    <row r="49" spans="9:16" x14ac:dyDescent="0.35">
      <c r="I49" s="3"/>
      <c r="P49" s="51" t="b">
        <v>0</v>
      </c>
    </row>
    <row r="50" spans="9:16" x14ac:dyDescent="0.35">
      <c r="P50" s="51" t="b">
        <v>0</v>
      </c>
    </row>
    <row r="51" spans="9:16" x14ac:dyDescent="0.35">
      <c r="P51" s="51" t="b">
        <v>0</v>
      </c>
    </row>
    <row r="52" spans="9:16" x14ac:dyDescent="0.35">
      <c r="P52" s="51" t="b">
        <v>0</v>
      </c>
    </row>
    <row r="53" spans="9:16" x14ac:dyDescent="0.35">
      <c r="P53" s="51" t="b">
        <v>0</v>
      </c>
    </row>
    <row r="54" spans="9:16" x14ac:dyDescent="0.35">
      <c r="P54" s="51" t="b">
        <v>0</v>
      </c>
    </row>
    <row r="55" spans="9:16" x14ac:dyDescent="0.35">
      <c r="P55" s="51" t="b">
        <v>0</v>
      </c>
    </row>
    <row r="56" spans="9:16" x14ac:dyDescent="0.35">
      <c r="P56" s="51" t="b">
        <v>0</v>
      </c>
    </row>
    <row r="57" spans="9:16" x14ac:dyDescent="0.35">
      <c r="P57" s="51" t="b">
        <v>0</v>
      </c>
    </row>
    <row r="58" spans="9:16" x14ac:dyDescent="0.35">
      <c r="P58" s="51" t="b">
        <v>0</v>
      </c>
    </row>
    <row r="59" spans="9:16" x14ac:dyDescent="0.35">
      <c r="P59" s="51" t="b">
        <v>0</v>
      </c>
    </row>
    <row r="60" spans="9:16" x14ac:dyDescent="0.35">
      <c r="P60" s="51" t="b">
        <v>0</v>
      </c>
    </row>
    <row r="61" spans="9:16" x14ac:dyDescent="0.35">
      <c r="P61" s="51" t="b">
        <v>0</v>
      </c>
    </row>
    <row r="62" spans="9:16" x14ac:dyDescent="0.35">
      <c r="P62" s="51" t="b">
        <v>0</v>
      </c>
    </row>
    <row r="63" spans="9:16" x14ac:dyDescent="0.35">
      <c r="P63" s="51" t="b">
        <v>0</v>
      </c>
    </row>
    <row r="64" spans="9:16" x14ac:dyDescent="0.35">
      <c r="P64" s="51" t="b">
        <v>0</v>
      </c>
    </row>
    <row r="65" spans="16:16" x14ac:dyDescent="0.35">
      <c r="P65" s="51" t="b">
        <v>0</v>
      </c>
    </row>
    <row r="66" spans="16:16" x14ac:dyDescent="0.35">
      <c r="P66" s="51" t="b">
        <v>0</v>
      </c>
    </row>
    <row r="67" spans="16:16" x14ac:dyDescent="0.35">
      <c r="P67" s="51" t="b">
        <v>0</v>
      </c>
    </row>
    <row r="68" spans="16:16" x14ac:dyDescent="0.35">
      <c r="P68" s="51" t="b">
        <v>0</v>
      </c>
    </row>
    <row r="69" spans="16:16" x14ac:dyDescent="0.35">
      <c r="P69" s="51" t="b">
        <v>0</v>
      </c>
    </row>
    <row r="70" spans="16:16" x14ac:dyDescent="0.35">
      <c r="P70" s="51" t="b">
        <v>0</v>
      </c>
    </row>
    <row r="71" spans="16:16" x14ac:dyDescent="0.35">
      <c r="P71" s="51" t="b">
        <v>0</v>
      </c>
    </row>
    <row r="72" spans="16:16" x14ac:dyDescent="0.35">
      <c r="P72" s="51" t="b">
        <v>0</v>
      </c>
    </row>
    <row r="73" spans="16:16" x14ac:dyDescent="0.35">
      <c r="P73" s="51" t="b">
        <v>0</v>
      </c>
    </row>
    <row r="74" spans="16:16" x14ac:dyDescent="0.35">
      <c r="P74" s="51" t="b">
        <v>0</v>
      </c>
    </row>
    <row r="75" spans="16:16" x14ac:dyDescent="0.35">
      <c r="P75" s="51" t="b">
        <v>0</v>
      </c>
    </row>
    <row r="76" spans="16:16" x14ac:dyDescent="0.35">
      <c r="P76" s="51" t="b">
        <v>0</v>
      </c>
    </row>
    <row r="77" spans="16:16" x14ac:dyDescent="0.35">
      <c r="P77" s="51" t="b">
        <v>0</v>
      </c>
    </row>
    <row r="78" spans="16:16" x14ac:dyDescent="0.35">
      <c r="P78" s="51" t="b">
        <v>0</v>
      </c>
    </row>
    <row r="79" spans="16:16" x14ac:dyDescent="0.35">
      <c r="P79" s="51" t="b">
        <v>0</v>
      </c>
    </row>
    <row r="80" spans="16:16" x14ac:dyDescent="0.35">
      <c r="P80" s="51" t="b">
        <v>0</v>
      </c>
    </row>
    <row r="81" spans="16:16" x14ac:dyDescent="0.35">
      <c r="P81" s="51" t="b">
        <v>0</v>
      </c>
    </row>
    <row r="82" spans="16:16" x14ac:dyDescent="0.35">
      <c r="P82" s="51" t="b">
        <v>0</v>
      </c>
    </row>
    <row r="83" spans="16:16" x14ac:dyDescent="0.35">
      <c r="P83" s="51" t="b">
        <v>0</v>
      </c>
    </row>
    <row r="84" spans="16:16" x14ac:dyDescent="0.35">
      <c r="P84" s="51" t="b">
        <v>0</v>
      </c>
    </row>
    <row r="85" spans="16:16" x14ac:dyDescent="0.35">
      <c r="P85" s="51" t="b">
        <v>0</v>
      </c>
    </row>
    <row r="86" spans="16:16" x14ac:dyDescent="0.35">
      <c r="P86" s="51" t="b">
        <v>0</v>
      </c>
    </row>
    <row r="87" spans="16:16" x14ac:dyDescent="0.35">
      <c r="P87" s="51" t="b">
        <v>0</v>
      </c>
    </row>
    <row r="88" spans="16:16" x14ac:dyDescent="0.35">
      <c r="P88" s="51" t="b">
        <v>0</v>
      </c>
    </row>
    <row r="89" spans="16:16" x14ac:dyDescent="0.35">
      <c r="P89" s="51" t="b">
        <v>0</v>
      </c>
    </row>
    <row r="90" spans="16:16" x14ac:dyDescent="0.35">
      <c r="P90" s="51" t="b">
        <v>0</v>
      </c>
    </row>
    <row r="91" spans="16:16" x14ac:dyDescent="0.35">
      <c r="P91" s="51" t="b">
        <v>0</v>
      </c>
    </row>
    <row r="92" spans="16:16" x14ac:dyDescent="0.35">
      <c r="P92" s="51" t="b">
        <v>0</v>
      </c>
    </row>
    <row r="93" spans="16:16" x14ac:dyDescent="0.35">
      <c r="P93" s="51" t="b">
        <v>0</v>
      </c>
    </row>
    <row r="94" spans="16:16" x14ac:dyDescent="0.35">
      <c r="P94" s="51" t="b">
        <v>0</v>
      </c>
    </row>
    <row r="95" spans="16:16" x14ac:dyDescent="0.35">
      <c r="P95" s="51" t="b">
        <v>0</v>
      </c>
    </row>
    <row r="96" spans="16:16" x14ac:dyDescent="0.35">
      <c r="P96" s="51" t="b">
        <v>0</v>
      </c>
    </row>
    <row r="97" spans="16:16" x14ac:dyDescent="0.35">
      <c r="P97" s="51" t="b">
        <v>0</v>
      </c>
    </row>
    <row r="98" spans="16:16" x14ac:dyDescent="0.35">
      <c r="P98" s="51" t="b">
        <v>0</v>
      </c>
    </row>
    <row r="99" spans="16:16" x14ac:dyDescent="0.35">
      <c r="P99" s="51" t="b">
        <v>0</v>
      </c>
    </row>
    <row r="100" spans="16:16" x14ac:dyDescent="0.35">
      <c r="P100" s="51" t="b">
        <v>0</v>
      </c>
    </row>
    <row r="101" spans="16:16" x14ac:dyDescent="0.35">
      <c r="P101" s="51" t="b">
        <v>0</v>
      </c>
    </row>
    <row r="102" spans="16:16" x14ac:dyDescent="0.35">
      <c r="P102" s="51" t="b">
        <v>0</v>
      </c>
    </row>
    <row r="103" spans="16:16" x14ac:dyDescent="0.35">
      <c r="P103" s="51" t="b">
        <v>0</v>
      </c>
    </row>
    <row r="104" spans="16:16" x14ac:dyDescent="0.35">
      <c r="P104" s="51" t="b">
        <v>0</v>
      </c>
    </row>
    <row r="105" spans="16:16" x14ac:dyDescent="0.35">
      <c r="P105" s="51" t="b">
        <v>0</v>
      </c>
    </row>
    <row r="106" spans="16:16" x14ac:dyDescent="0.35">
      <c r="P106" s="51" t="b">
        <v>0</v>
      </c>
    </row>
    <row r="107" spans="16:16" x14ac:dyDescent="0.35">
      <c r="P107" s="51" t="b">
        <v>0</v>
      </c>
    </row>
    <row r="108" spans="16:16" x14ac:dyDescent="0.35">
      <c r="P108" s="51" t="b">
        <v>0</v>
      </c>
    </row>
    <row r="109" spans="16:16" x14ac:dyDescent="0.35">
      <c r="P109" s="51" t="b">
        <v>0</v>
      </c>
    </row>
    <row r="110" spans="16:16" x14ac:dyDescent="0.35">
      <c r="P110" s="51" t="b">
        <v>0</v>
      </c>
    </row>
    <row r="111" spans="16:16" x14ac:dyDescent="0.35">
      <c r="P111" s="51" t="b">
        <v>0</v>
      </c>
    </row>
    <row r="112" spans="16:16" x14ac:dyDescent="0.35">
      <c r="P112" s="51" t="b">
        <v>0</v>
      </c>
    </row>
    <row r="113" spans="16:16" x14ac:dyDescent="0.35">
      <c r="P113" s="51" t="b">
        <v>0</v>
      </c>
    </row>
    <row r="114" spans="16:16" x14ac:dyDescent="0.35">
      <c r="P114" s="51" t="b">
        <v>0</v>
      </c>
    </row>
    <row r="115" spans="16:16" x14ac:dyDescent="0.35">
      <c r="P115" s="51" t="b">
        <v>0</v>
      </c>
    </row>
    <row r="116" spans="16:16" x14ac:dyDescent="0.35">
      <c r="P116" s="51" t="b">
        <v>0</v>
      </c>
    </row>
    <row r="117" spans="16:16" x14ac:dyDescent="0.35">
      <c r="P117" s="51" t="b">
        <v>0</v>
      </c>
    </row>
    <row r="118" spans="16:16" x14ac:dyDescent="0.35">
      <c r="P118" s="51" t="b">
        <v>0</v>
      </c>
    </row>
    <row r="119" spans="16:16" x14ac:dyDescent="0.35">
      <c r="P119" s="51" t="b">
        <v>0</v>
      </c>
    </row>
    <row r="120" spans="16:16" x14ac:dyDescent="0.35">
      <c r="P120" s="51" t="b">
        <v>0</v>
      </c>
    </row>
    <row r="121" spans="16:16" x14ac:dyDescent="0.35">
      <c r="P121" s="51" t="b">
        <v>0</v>
      </c>
    </row>
    <row r="122" spans="16:16" x14ac:dyDescent="0.35">
      <c r="P122" s="51" t="b">
        <v>0</v>
      </c>
    </row>
    <row r="123" spans="16:16" x14ac:dyDescent="0.35">
      <c r="P123" s="51" t="b">
        <v>0</v>
      </c>
    </row>
    <row r="124" spans="16:16" x14ac:dyDescent="0.35">
      <c r="P124" s="51" t="b">
        <v>0</v>
      </c>
    </row>
    <row r="125" spans="16:16" x14ac:dyDescent="0.35">
      <c r="P125" s="51" t="b">
        <v>0</v>
      </c>
    </row>
    <row r="126" spans="16:16" x14ac:dyDescent="0.35">
      <c r="P126" s="51" t="b">
        <v>0</v>
      </c>
    </row>
    <row r="127" spans="16:16" x14ac:dyDescent="0.35">
      <c r="P127" s="51" t="b">
        <v>0</v>
      </c>
    </row>
    <row r="128" spans="16:16" x14ac:dyDescent="0.35">
      <c r="P128" s="51" t="b">
        <v>0</v>
      </c>
    </row>
    <row r="129" spans="16:16" x14ac:dyDescent="0.35">
      <c r="P129" s="51" t="b">
        <v>0</v>
      </c>
    </row>
    <row r="130" spans="16:16" x14ac:dyDescent="0.35">
      <c r="P130" s="51" t="b">
        <v>0</v>
      </c>
    </row>
    <row r="131" spans="16:16" x14ac:dyDescent="0.35">
      <c r="P131" s="51" t="b">
        <v>0</v>
      </c>
    </row>
  </sheetData>
  <dataValidations count="2">
    <dataValidation type="list" allowBlank="1" showInputMessage="1" showErrorMessage="1" sqref="N132:N1048576 O35:O1048576 O25:O29" xr:uid="{557C6DBC-69C7-4560-BE27-811EA4FDE874}">
      <formula1>#REF!</formula1>
    </dataValidation>
    <dataValidation type="list" allowBlank="1" showInputMessage="1" showErrorMessage="1" sqref="J132:J1048576" xr:uid="{47F6DF41-ACE4-44DF-99C5-C3C4896DD9F9}">
      <formula1>$B$3:$B$365</formula1>
    </dataValidation>
  </dataValidation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04D6E-B58C-417F-817A-720BC9CC7A74}">
  <dimension ref="A1:Q98"/>
  <sheetViews>
    <sheetView zoomScale="85" zoomScaleNormal="85" workbookViewId="0">
      <selection sqref="A1:XFD1048576"/>
    </sheetView>
  </sheetViews>
  <sheetFormatPr defaultRowHeight="14.5" x14ac:dyDescent="0.35"/>
  <cols>
    <col min="1" max="1" width="10.81640625" style="2" customWidth="1"/>
    <col min="2" max="2" width="11.1796875" style="2" customWidth="1"/>
    <col min="3" max="3" width="8.453125" style="2" customWidth="1"/>
    <col min="4" max="4" width="12.54296875" style="2" customWidth="1"/>
    <col min="5" max="5" width="8.81640625" style="2" customWidth="1"/>
    <col min="6" max="6" width="12.54296875" style="2" customWidth="1"/>
    <col min="7" max="7" width="14" style="2" customWidth="1"/>
    <col min="8" max="8" width="13.81640625" style="2" customWidth="1"/>
    <col min="9" max="9" width="34.54296875" style="2" bestFit="1" customWidth="1"/>
    <col min="10" max="10" width="39.1796875" style="2" bestFit="1" customWidth="1"/>
    <col min="11" max="11" width="27.453125" style="2" customWidth="1"/>
    <col min="12" max="12" width="33.54296875" style="2" bestFit="1" customWidth="1"/>
    <col min="13" max="13" width="12.81640625" style="2" customWidth="1"/>
    <col min="14" max="14" width="20.81640625" style="2" customWidth="1"/>
    <col min="15" max="15" width="12.81640625" style="2" customWidth="1"/>
    <col min="16" max="17" width="20.81640625" customWidth="1"/>
  </cols>
  <sheetData>
    <row r="1" spans="1:17" ht="60" customHeight="1" x14ac:dyDescent="0.35">
      <c r="A1" s="24" t="s">
        <v>456</v>
      </c>
      <c r="G1" s="11" t="s">
        <v>37</v>
      </c>
      <c r="I1" s="2">
        <f>76/15</f>
        <v>5.0666666666666664</v>
      </c>
      <c r="P1" s="12" t="s">
        <v>38</v>
      </c>
      <c r="Q1" s="13" t="s">
        <v>39</v>
      </c>
    </row>
    <row r="2" spans="1:17" x14ac:dyDescent="0.35">
      <c r="A2" s="10" t="s">
        <v>40</v>
      </c>
      <c r="B2" s="10" t="s">
        <v>41</v>
      </c>
      <c r="C2" s="10" t="s">
        <v>42</v>
      </c>
      <c r="D2" s="10" t="s">
        <v>43</v>
      </c>
      <c r="E2" s="10" t="s">
        <v>44</v>
      </c>
      <c r="F2" s="10" t="s">
        <v>45</v>
      </c>
      <c r="G2" s="10" t="s">
        <v>46</v>
      </c>
      <c r="H2" s="10" t="s">
        <v>47</v>
      </c>
      <c r="I2" s="10" t="s">
        <v>48</v>
      </c>
      <c r="J2" s="10" t="s">
        <v>49</v>
      </c>
      <c r="K2" s="10" t="s">
        <v>50</v>
      </c>
      <c r="L2" s="10" t="s">
        <v>51</v>
      </c>
      <c r="M2" s="10" t="s">
        <v>52</v>
      </c>
      <c r="N2" s="10" t="s">
        <v>53</v>
      </c>
      <c r="O2" s="10" t="s">
        <v>54</v>
      </c>
      <c r="P2" s="5" t="s">
        <v>55</v>
      </c>
    </row>
    <row r="3" spans="1:17" x14ac:dyDescent="0.35">
      <c r="A3" s="4"/>
      <c r="B3" s="1"/>
      <c r="C3" s="4"/>
      <c r="D3" s="1"/>
      <c r="E3" s="1"/>
      <c r="F3" s="1"/>
      <c r="G3" s="1"/>
      <c r="H3" s="1"/>
      <c r="I3" s="4"/>
      <c r="J3" s="4"/>
      <c r="K3" s="1"/>
      <c r="L3" s="1"/>
      <c r="M3" s="1"/>
      <c r="N3" s="1"/>
      <c r="O3" s="1"/>
      <c r="P3" s="6" t="b">
        <v>0</v>
      </c>
    </row>
    <row r="4" spans="1:17" x14ac:dyDescent="0.35">
      <c r="A4" s="4" t="s">
        <v>692</v>
      </c>
      <c r="B4" s="99" t="s">
        <v>235</v>
      </c>
      <c r="C4" s="4" t="s">
        <v>74</v>
      </c>
      <c r="D4" s="1">
        <v>14</v>
      </c>
      <c r="E4" s="1" t="s">
        <v>82</v>
      </c>
      <c r="F4" s="1" t="s">
        <v>76</v>
      </c>
      <c r="G4" s="1">
        <v>3</v>
      </c>
      <c r="H4" s="1" t="s">
        <v>77</v>
      </c>
      <c r="I4" s="4" t="s">
        <v>693</v>
      </c>
      <c r="J4" s="1" t="s">
        <v>694</v>
      </c>
      <c r="K4" s="4" t="s">
        <v>648</v>
      </c>
      <c r="L4" s="1" t="s">
        <v>695</v>
      </c>
      <c r="M4" s="1"/>
      <c r="N4" s="1"/>
      <c r="O4" s="1"/>
      <c r="P4" s="6" t="b">
        <v>0</v>
      </c>
    </row>
    <row r="5" spans="1:17" x14ac:dyDescent="0.35">
      <c r="A5" s="4" t="s">
        <v>692</v>
      </c>
      <c r="B5" s="99" t="s">
        <v>235</v>
      </c>
      <c r="C5" s="4" t="s">
        <v>79</v>
      </c>
      <c r="D5" s="1">
        <v>15</v>
      </c>
      <c r="E5" s="1" t="s">
        <v>82</v>
      </c>
      <c r="F5" s="1" t="s">
        <v>113</v>
      </c>
      <c r="G5" s="1">
        <v>3</v>
      </c>
      <c r="H5" s="1" t="s">
        <v>77</v>
      </c>
      <c r="I5" s="4" t="s">
        <v>693</v>
      </c>
      <c r="J5" s="1" t="s">
        <v>694</v>
      </c>
      <c r="K5" s="4" t="s">
        <v>648</v>
      </c>
      <c r="L5" s="1" t="s">
        <v>695</v>
      </c>
      <c r="M5" s="1"/>
      <c r="N5" s="1"/>
      <c r="O5" s="1"/>
      <c r="P5" s="6" t="b">
        <v>0</v>
      </c>
    </row>
    <row r="6" spans="1:17" x14ac:dyDescent="0.35">
      <c r="A6" s="4" t="s">
        <v>692</v>
      </c>
      <c r="B6" s="99" t="s">
        <v>235</v>
      </c>
      <c r="C6" s="4" t="s">
        <v>81</v>
      </c>
      <c r="D6" s="1">
        <v>15</v>
      </c>
      <c r="E6" s="1" t="s">
        <v>82</v>
      </c>
      <c r="F6" s="1" t="s">
        <v>76</v>
      </c>
      <c r="G6" s="1">
        <v>3</v>
      </c>
      <c r="H6" s="1" t="s">
        <v>80</v>
      </c>
      <c r="I6" s="4" t="s">
        <v>693</v>
      </c>
      <c r="J6" s="1" t="s">
        <v>694</v>
      </c>
      <c r="K6" s="4" t="s">
        <v>648</v>
      </c>
      <c r="L6" s="1" t="s">
        <v>695</v>
      </c>
      <c r="M6" s="1"/>
      <c r="N6" s="1"/>
      <c r="O6" s="1"/>
      <c r="P6" s="6" t="b">
        <v>0</v>
      </c>
    </row>
    <row r="7" spans="1:17" x14ac:dyDescent="0.35">
      <c r="A7" s="4" t="s">
        <v>692</v>
      </c>
      <c r="B7" s="99" t="s">
        <v>235</v>
      </c>
      <c r="C7" s="4" t="s">
        <v>94</v>
      </c>
      <c r="D7" s="1">
        <v>15</v>
      </c>
      <c r="E7" s="1" t="s">
        <v>82</v>
      </c>
      <c r="F7" s="1" t="s">
        <v>113</v>
      </c>
      <c r="G7" s="1">
        <v>3</v>
      </c>
      <c r="H7" s="1" t="s">
        <v>80</v>
      </c>
      <c r="I7" s="4" t="s">
        <v>693</v>
      </c>
      <c r="J7" s="1" t="s">
        <v>694</v>
      </c>
      <c r="K7" s="4" t="s">
        <v>648</v>
      </c>
      <c r="L7" s="1" t="s">
        <v>695</v>
      </c>
      <c r="M7" s="1"/>
      <c r="N7" s="1"/>
      <c r="O7" s="1"/>
      <c r="P7" s="6" t="b">
        <v>0</v>
      </c>
    </row>
    <row r="8" spans="1:17" x14ac:dyDescent="0.35">
      <c r="A8" s="4" t="s">
        <v>696</v>
      </c>
      <c r="B8" s="99" t="s">
        <v>237</v>
      </c>
      <c r="C8" s="4" t="s">
        <v>697</v>
      </c>
      <c r="D8" s="1">
        <v>15</v>
      </c>
      <c r="E8" s="1" t="s">
        <v>82</v>
      </c>
      <c r="F8" s="1" t="s">
        <v>113</v>
      </c>
      <c r="G8" s="1">
        <v>3</v>
      </c>
      <c r="H8" s="1" t="s">
        <v>80</v>
      </c>
      <c r="I8" s="4" t="s">
        <v>693</v>
      </c>
      <c r="J8" s="1" t="s">
        <v>694</v>
      </c>
      <c r="K8" s="4" t="s">
        <v>648</v>
      </c>
      <c r="L8" s="1" t="s">
        <v>695</v>
      </c>
      <c r="M8" s="1"/>
      <c r="N8" s="1"/>
      <c r="O8" s="1"/>
      <c r="P8" s="6" t="b">
        <v>0</v>
      </c>
    </row>
    <row r="9" spans="1:17" x14ac:dyDescent="0.35">
      <c r="A9" s="4" t="s">
        <v>692</v>
      </c>
      <c r="B9" s="99" t="s">
        <v>235</v>
      </c>
      <c r="C9" s="4" t="s">
        <v>74</v>
      </c>
      <c r="D9" s="1">
        <v>14</v>
      </c>
      <c r="E9" s="1" t="s">
        <v>82</v>
      </c>
      <c r="F9" s="1" t="s">
        <v>76</v>
      </c>
      <c r="G9" s="1">
        <v>5</v>
      </c>
      <c r="H9" s="1">
        <v>11</v>
      </c>
      <c r="I9" s="4" t="s">
        <v>693</v>
      </c>
      <c r="J9" s="1" t="s">
        <v>694</v>
      </c>
      <c r="K9" s="4" t="s">
        <v>648</v>
      </c>
      <c r="L9" s="1" t="s">
        <v>695</v>
      </c>
      <c r="M9" s="1"/>
      <c r="N9" s="1"/>
      <c r="O9" s="1"/>
      <c r="P9" s="6" t="b">
        <v>0</v>
      </c>
    </row>
    <row r="10" spans="1:17" x14ac:dyDescent="0.35">
      <c r="A10" s="4" t="s">
        <v>692</v>
      </c>
      <c r="B10" s="99" t="s">
        <v>235</v>
      </c>
      <c r="C10" s="4" t="s">
        <v>79</v>
      </c>
      <c r="D10" s="1">
        <v>15</v>
      </c>
      <c r="E10" s="1" t="s">
        <v>82</v>
      </c>
      <c r="F10" s="1" t="s">
        <v>76</v>
      </c>
      <c r="G10" s="1">
        <v>5</v>
      </c>
      <c r="H10" s="1">
        <v>11</v>
      </c>
      <c r="I10" s="4" t="s">
        <v>693</v>
      </c>
      <c r="J10" s="1" t="s">
        <v>694</v>
      </c>
      <c r="K10" s="4" t="s">
        <v>648</v>
      </c>
      <c r="L10" s="1" t="s">
        <v>695</v>
      </c>
      <c r="M10" s="1"/>
      <c r="N10" s="1"/>
      <c r="O10" s="1"/>
      <c r="P10" s="6" t="b">
        <v>0</v>
      </c>
    </row>
    <row r="11" spans="1:17" x14ac:dyDescent="0.35">
      <c r="A11" s="4" t="s">
        <v>692</v>
      </c>
      <c r="B11" s="99" t="s">
        <v>235</v>
      </c>
      <c r="C11" s="4" t="s">
        <v>81</v>
      </c>
      <c r="D11" s="1">
        <v>15</v>
      </c>
      <c r="E11" s="1" t="s">
        <v>82</v>
      </c>
      <c r="F11" s="1" t="s">
        <v>76</v>
      </c>
      <c r="G11" s="1">
        <v>5</v>
      </c>
      <c r="H11" s="1">
        <v>10</v>
      </c>
      <c r="I11" s="4" t="s">
        <v>693</v>
      </c>
      <c r="J11" s="1" t="s">
        <v>694</v>
      </c>
      <c r="K11" s="4" t="s">
        <v>648</v>
      </c>
      <c r="L11" s="1" t="s">
        <v>695</v>
      </c>
      <c r="M11" s="1"/>
      <c r="N11" s="1"/>
      <c r="O11" s="1"/>
      <c r="P11" s="6" t="b">
        <v>0</v>
      </c>
    </row>
    <row r="12" spans="1:17" x14ac:dyDescent="0.35">
      <c r="A12" s="4" t="s">
        <v>692</v>
      </c>
      <c r="B12" s="99" t="s">
        <v>235</v>
      </c>
      <c r="C12" s="4" t="s">
        <v>94</v>
      </c>
      <c r="D12" s="1">
        <v>15</v>
      </c>
      <c r="E12" s="1" t="s">
        <v>82</v>
      </c>
      <c r="F12" s="1" t="s">
        <v>76</v>
      </c>
      <c r="G12" s="1">
        <v>5</v>
      </c>
      <c r="H12" s="1">
        <v>9</v>
      </c>
      <c r="I12" s="4" t="s">
        <v>693</v>
      </c>
      <c r="J12" s="1" t="s">
        <v>694</v>
      </c>
      <c r="K12" s="4" t="s">
        <v>648</v>
      </c>
      <c r="L12" s="1" t="s">
        <v>695</v>
      </c>
      <c r="M12" s="1"/>
      <c r="N12" s="1"/>
      <c r="O12" s="1"/>
      <c r="P12" s="6" t="b">
        <v>0</v>
      </c>
    </row>
    <row r="13" spans="1:17" x14ac:dyDescent="0.35">
      <c r="A13" s="4" t="s">
        <v>696</v>
      </c>
      <c r="B13" s="99" t="s">
        <v>237</v>
      </c>
      <c r="C13" s="4" t="s">
        <v>697</v>
      </c>
      <c r="D13" s="1">
        <v>15</v>
      </c>
      <c r="E13" s="1" t="s">
        <v>82</v>
      </c>
      <c r="F13" s="1" t="s">
        <v>76</v>
      </c>
      <c r="G13" s="1">
        <v>5</v>
      </c>
      <c r="H13" s="1">
        <v>9</v>
      </c>
      <c r="I13" s="4" t="s">
        <v>693</v>
      </c>
      <c r="J13" s="1" t="s">
        <v>694</v>
      </c>
      <c r="K13" s="4" t="s">
        <v>648</v>
      </c>
      <c r="L13" s="1" t="s">
        <v>695</v>
      </c>
      <c r="M13" s="1"/>
      <c r="N13" s="1"/>
      <c r="O13" s="1"/>
      <c r="P13" s="6" t="b">
        <v>0</v>
      </c>
    </row>
    <row r="14" spans="1:17" x14ac:dyDescent="0.35">
      <c r="A14" s="4"/>
      <c r="B14" s="1"/>
      <c r="C14" s="4"/>
      <c r="D14" s="1"/>
      <c r="E14" s="1"/>
      <c r="F14" s="1"/>
      <c r="G14" s="1"/>
      <c r="H14" s="1"/>
      <c r="I14" s="4"/>
      <c r="J14" s="1"/>
      <c r="K14" s="4"/>
      <c r="L14" s="1"/>
      <c r="M14" s="1"/>
      <c r="N14" s="1"/>
      <c r="O14" s="1"/>
      <c r="P14" s="6" t="b">
        <v>0</v>
      </c>
    </row>
    <row r="15" spans="1:17" x14ac:dyDescent="0.35">
      <c r="A15" s="4"/>
      <c r="B15" s="1"/>
      <c r="C15" s="4"/>
      <c r="D15" s="1"/>
      <c r="E15" s="1"/>
      <c r="F15" s="1"/>
      <c r="G15" s="1"/>
      <c r="H15" s="1"/>
      <c r="I15" s="4"/>
      <c r="J15" s="1"/>
      <c r="K15" s="4"/>
      <c r="L15" s="1"/>
      <c r="M15" s="1"/>
      <c r="N15" s="1"/>
      <c r="O15" s="1"/>
      <c r="P15" s="6" t="b">
        <v>0</v>
      </c>
    </row>
    <row r="16" spans="1:17" x14ac:dyDescent="0.35">
      <c r="A16" s="4"/>
      <c r="B16" s="97"/>
      <c r="C16" s="96"/>
      <c r="D16" s="1"/>
      <c r="E16" s="1"/>
      <c r="F16" s="1"/>
      <c r="G16" s="1"/>
      <c r="H16" s="1"/>
      <c r="I16" s="4"/>
      <c r="J16" s="1"/>
      <c r="K16" s="4"/>
      <c r="L16" s="1"/>
      <c r="M16" s="1"/>
      <c r="N16" s="1"/>
      <c r="O16" s="1"/>
      <c r="P16" s="6" t="b">
        <v>0</v>
      </c>
    </row>
    <row r="17" spans="1:16" x14ac:dyDescent="0.35">
      <c r="A17" s="4"/>
      <c r="B17" s="1"/>
      <c r="C17" s="4"/>
      <c r="D17" s="1"/>
      <c r="E17" s="1"/>
      <c r="F17" s="1"/>
      <c r="G17" s="1"/>
      <c r="H17" s="1"/>
      <c r="I17" s="4"/>
      <c r="J17" s="1"/>
      <c r="K17" s="4"/>
      <c r="L17" s="1"/>
      <c r="M17" s="1"/>
      <c r="N17" s="1"/>
      <c r="O17" s="1"/>
      <c r="P17" s="6" t="b">
        <v>0</v>
      </c>
    </row>
    <row r="18" spans="1:16" x14ac:dyDescent="0.35">
      <c r="A18" s="4"/>
      <c r="B18" s="1"/>
      <c r="C18" s="4"/>
      <c r="D18" s="1"/>
      <c r="E18" s="1"/>
      <c r="F18" s="1"/>
      <c r="G18" s="1"/>
      <c r="H18" s="1"/>
      <c r="I18" s="4"/>
      <c r="J18" s="1"/>
      <c r="K18" s="4"/>
      <c r="L18" s="1"/>
      <c r="M18" s="1"/>
      <c r="N18" s="1"/>
      <c r="O18" s="1"/>
      <c r="P18" s="6" t="b">
        <v>0</v>
      </c>
    </row>
    <row r="19" spans="1:16" x14ac:dyDescent="0.35">
      <c r="A19" s="4"/>
      <c r="B19" s="1"/>
      <c r="C19" s="4"/>
      <c r="D19" s="1"/>
      <c r="E19" s="1"/>
      <c r="F19" s="1"/>
      <c r="G19" s="1"/>
      <c r="H19" s="1"/>
      <c r="I19" s="4"/>
      <c r="J19" s="1"/>
      <c r="K19" s="4"/>
      <c r="L19" s="1"/>
      <c r="M19" s="1"/>
      <c r="N19" s="1"/>
      <c r="O19" s="1"/>
      <c r="P19" s="6" t="b">
        <v>0</v>
      </c>
    </row>
    <row r="20" spans="1:16" x14ac:dyDescent="0.35">
      <c r="A20" s="4"/>
      <c r="B20" s="1"/>
      <c r="C20" s="4"/>
      <c r="D20" s="1"/>
      <c r="E20" s="1"/>
      <c r="F20" s="1"/>
      <c r="G20" s="1"/>
      <c r="H20" s="1"/>
      <c r="I20" s="4"/>
      <c r="J20" s="1"/>
      <c r="K20" s="4"/>
      <c r="L20" s="1"/>
      <c r="M20" s="1"/>
      <c r="N20" s="1"/>
      <c r="O20" s="1"/>
      <c r="P20" s="6" t="b">
        <v>0</v>
      </c>
    </row>
    <row r="21" spans="1:16" x14ac:dyDescent="0.35">
      <c r="A21" s="4"/>
      <c r="B21" s="1"/>
      <c r="C21" s="4"/>
      <c r="D21" s="1"/>
      <c r="E21" s="1"/>
      <c r="F21" s="1"/>
      <c r="G21" s="1"/>
      <c r="H21" s="1"/>
      <c r="I21" s="4"/>
      <c r="J21" s="1"/>
      <c r="K21" s="4"/>
      <c r="L21" s="1"/>
      <c r="M21" s="1"/>
      <c r="N21" s="1"/>
      <c r="O21" s="1"/>
      <c r="P21" s="6" t="b">
        <v>0</v>
      </c>
    </row>
    <row r="22" spans="1:16" x14ac:dyDescent="0.35">
      <c r="A22" s="4"/>
      <c r="B22" s="1"/>
      <c r="C22" s="4"/>
      <c r="D22" s="1"/>
      <c r="E22" s="1"/>
      <c r="F22" s="1"/>
      <c r="G22" s="1"/>
      <c r="H22" s="1"/>
      <c r="I22" s="4"/>
      <c r="J22" s="1"/>
      <c r="K22" s="4"/>
      <c r="L22" s="1"/>
      <c r="M22" s="1"/>
      <c r="N22" s="1"/>
      <c r="O22" s="1"/>
      <c r="P22" s="6" t="b">
        <v>0</v>
      </c>
    </row>
    <row r="23" spans="1:16" x14ac:dyDescent="0.35">
      <c r="A23" s="4"/>
      <c r="B23" s="1"/>
      <c r="C23" s="4"/>
      <c r="D23" s="1"/>
      <c r="E23" s="1"/>
      <c r="F23" s="1"/>
      <c r="G23" s="1"/>
      <c r="H23" s="1"/>
      <c r="I23" s="4"/>
      <c r="J23" s="1"/>
      <c r="K23" s="4"/>
      <c r="L23" s="1"/>
      <c r="M23" s="1"/>
      <c r="N23" s="1"/>
      <c r="O23" s="1"/>
      <c r="P23" s="6" t="b">
        <v>0</v>
      </c>
    </row>
    <row r="24" spans="1:16" x14ac:dyDescent="0.35">
      <c r="A24" s="4"/>
      <c r="B24" s="1"/>
      <c r="C24" s="4"/>
      <c r="D24" s="1"/>
      <c r="E24" s="1"/>
      <c r="F24" s="1"/>
      <c r="G24" s="1"/>
      <c r="H24" s="14"/>
      <c r="I24" s="4"/>
      <c r="J24" s="4"/>
      <c r="K24" s="4"/>
      <c r="L24" s="1"/>
      <c r="M24" s="1"/>
      <c r="N24" s="1"/>
      <c r="O24" s="1"/>
      <c r="P24" s="6" t="b">
        <v>0</v>
      </c>
    </row>
    <row r="25" spans="1:16" x14ac:dyDescent="0.35">
      <c r="A25" s="4"/>
      <c r="B25" s="1"/>
      <c r="C25" s="4"/>
      <c r="D25" s="1"/>
      <c r="E25" s="1"/>
      <c r="F25" s="1"/>
      <c r="G25" s="1"/>
      <c r="H25" s="14"/>
      <c r="I25" s="4"/>
      <c r="J25" s="4"/>
      <c r="K25" s="4"/>
      <c r="N25" s="1"/>
      <c r="P25" s="6" t="b">
        <v>0</v>
      </c>
    </row>
    <row r="26" spans="1:16" x14ac:dyDescent="0.35">
      <c r="A26" s="4"/>
      <c r="B26" s="1"/>
      <c r="C26" s="4"/>
      <c r="D26" s="1"/>
      <c r="E26" s="1"/>
      <c r="F26" s="1"/>
      <c r="G26" s="1"/>
      <c r="H26" s="14"/>
      <c r="I26" s="4"/>
      <c r="J26" s="4"/>
      <c r="K26" s="4"/>
      <c r="N26" s="1"/>
      <c r="P26" s="6" t="b">
        <v>0</v>
      </c>
    </row>
    <row r="27" spans="1:16" x14ac:dyDescent="0.35">
      <c r="A27" s="4"/>
      <c r="B27" s="1"/>
      <c r="C27" s="4"/>
      <c r="D27" s="1"/>
      <c r="E27" s="1"/>
      <c r="F27" s="1"/>
      <c r="G27" s="1"/>
      <c r="H27" s="14"/>
      <c r="I27" s="4"/>
      <c r="J27" s="4"/>
      <c r="K27" s="4"/>
      <c r="N27" s="1"/>
      <c r="P27" s="6" t="b">
        <v>0</v>
      </c>
    </row>
    <row r="28" spans="1:16" x14ac:dyDescent="0.35">
      <c r="A28" s="4"/>
      <c r="B28" s="1"/>
      <c r="C28" s="4"/>
      <c r="D28" s="1"/>
      <c r="E28" s="1"/>
      <c r="F28" s="1"/>
      <c r="G28" s="1"/>
      <c r="H28" s="14"/>
      <c r="I28" s="4"/>
      <c r="J28" s="4"/>
      <c r="K28" s="4"/>
      <c r="N28" s="1"/>
      <c r="P28" s="6" t="b">
        <v>0</v>
      </c>
    </row>
    <row r="29" spans="1:16" x14ac:dyDescent="0.35">
      <c r="A29" s="4"/>
      <c r="B29" s="1"/>
      <c r="C29" s="4"/>
      <c r="D29" s="1"/>
      <c r="E29" s="1"/>
      <c r="F29" s="1"/>
      <c r="G29" s="1"/>
      <c r="H29" s="14"/>
      <c r="I29" s="4"/>
      <c r="J29" s="4"/>
      <c r="K29" s="4"/>
      <c r="L29" s="14"/>
      <c r="N29" s="1"/>
      <c r="P29" s="6" t="b">
        <v>0</v>
      </c>
    </row>
    <row r="30" spans="1:16" x14ac:dyDescent="0.35">
      <c r="A30" s="4"/>
      <c r="B30" s="1"/>
      <c r="C30" s="4"/>
      <c r="D30" s="1"/>
      <c r="E30" s="1"/>
      <c r="F30" s="1"/>
      <c r="G30" s="1"/>
      <c r="H30" s="14"/>
      <c r="I30" s="4"/>
      <c r="J30" s="4"/>
      <c r="K30" s="4"/>
      <c r="L30" s="14"/>
      <c r="N30" s="1"/>
      <c r="P30" s="6" t="b">
        <v>0</v>
      </c>
    </row>
    <row r="31" spans="1:16" x14ac:dyDescent="0.35">
      <c r="A31" s="4"/>
      <c r="B31" s="1"/>
      <c r="C31" s="4"/>
      <c r="D31" s="1"/>
      <c r="E31" s="1"/>
      <c r="F31" s="1"/>
      <c r="G31" s="1"/>
      <c r="H31" s="14"/>
      <c r="I31" s="4"/>
      <c r="J31" s="4"/>
      <c r="K31" s="4"/>
      <c r="L31" s="14"/>
      <c r="N31" s="1"/>
      <c r="P31" s="6" t="b">
        <v>0</v>
      </c>
    </row>
    <row r="32" spans="1:16" x14ac:dyDescent="0.35">
      <c r="A32" s="4"/>
      <c r="B32" s="1"/>
      <c r="C32" s="4"/>
      <c r="D32" s="1"/>
      <c r="E32" s="1"/>
      <c r="F32" s="1"/>
      <c r="G32" s="1"/>
      <c r="H32" s="14"/>
      <c r="I32" s="4"/>
      <c r="J32" s="4"/>
      <c r="K32" s="4"/>
      <c r="L32" s="14"/>
      <c r="N32" s="1"/>
      <c r="P32" s="6" t="b">
        <v>0</v>
      </c>
    </row>
    <row r="33" spans="1:16" x14ac:dyDescent="0.35">
      <c r="A33" s="4"/>
      <c r="B33" s="1"/>
      <c r="C33" s="4"/>
      <c r="D33" s="1"/>
      <c r="E33" s="1"/>
      <c r="F33" s="1"/>
      <c r="G33" s="1"/>
      <c r="H33" s="14"/>
      <c r="I33" s="4"/>
      <c r="J33" s="4"/>
      <c r="K33" s="4"/>
      <c r="L33" s="14"/>
      <c r="N33" s="1"/>
      <c r="P33" s="6" t="b">
        <v>0</v>
      </c>
    </row>
    <row r="34" spans="1:16" x14ac:dyDescent="0.35">
      <c r="A34" s="4"/>
      <c r="B34" s="1"/>
      <c r="C34" s="4"/>
      <c r="D34" s="1"/>
      <c r="E34" s="1"/>
      <c r="F34" s="1"/>
      <c r="G34" s="1"/>
      <c r="H34" s="14"/>
      <c r="I34" s="4"/>
      <c r="J34" s="4"/>
      <c r="K34" s="4"/>
      <c r="L34" s="14"/>
      <c r="N34" s="1"/>
      <c r="P34" s="6" t="b">
        <v>0</v>
      </c>
    </row>
    <row r="35" spans="1:16" x14ac:dyDescent="0.35">
      <c r="A35" s="4"/>
      <c r="B35" s="1"/>
      <c r="C35" s="4"/>
      <c r="D35" s="1"/>
      <c r="E35" s="1"/>
      <c r="F35" s="1"/>
      <c r="G35" s="1"/>
      <c r="H35" s="1"/>
      <c r="I35" s="14"/>
      <c r="J35" s="1"/>
      <c r="K35" s="1"/>
      <c r="L35" s="1"/>
      <c r="M35" s="1"/>
      <c r="N35" s="1"/>
      <c r="O35" s="1"/>
      <c r="P35" s="6" t="b">
        <v>0</v>
      </c>
    </row>
    <row r="36" spans="1:16" x14ac:dyDescent="0.35">
      <c r="A36" s="4"/>
      <c r="B36" s="1"/>
      <c r="C36" s="4"/>
      <c r="D36" s="1"/>
      <c r="E36" s="1"/>
      <c r="F36" s="1"/>
      <c r="G36" s="1"/>
      <c r="H36" s="1"/>
      <c r="I36" s="14"/>
      <c r="J36" s="1"/>
      <c r="K36" s="14"/>
      <c r="L36" s="14"/>
      <c r="N36" s="1"/>
      <c r="P36" s="6" t="b">
        <v>0</v>
      </c>
    </row>
    <row r="37" spans="1:16" x14ac:dyDescent="0.35">
      <c r="A37" s="4"/>
      <c r="B37" s="1"/>
      <c r="C37" s="4"/>
      <c r="D37" s="1"/>
      <c r="E37" s="1"/>
      <c r="F37" s="1"/>
      <c r="G37" s="1"/>
      <c r="H37" s="1"/>
      <c r="I37" s="14"/>
      <c r="J37" s="1"/>
      <c r="K37" s="14"/>
      <c r="L37" s="14"/>
      <c r="N37" s="1"/>
      <c r="P37" s="6" t="b">
        <v>0</v>
      </c>
    </row>
    <row r="38" spans="1:16" x14ac:dyDescent="0.35">
      <c r="A38" s="4"/>
      <c r="B38" s="1"/>
      <c r="C38" s="4"/>
      <c r="D38" s="1"/>
      <c r="E38" s="1"/>
      <c r="F38" s="1"/>
      <c r="G38" s="1"/>
      <c r="H38" s="1"/>
      <c r="I38" s="14"/>
      <c r="J38" s="1"/>
      <c r="K38" s="14"/>
      <c r="L38" s="14"/>
      <c r="N38" s="1"/>
      <c r="P38" s="6" t="b">
        <v>0</v>
      </c>
    </row>
    <row r="39" spans="1:16" x14ac:dyDescent="0.35">
      <c r="A39" s="4"/>
      <c r="B39" s="1"/>
      <c r="C39" s="4"/>
      <c r="D39" s="1"/>
      <c r="E39" s="1"/>
      <c r="F39" s="1"/>
      <c r="G39" s="1"/>
      <c r="H39" s="1"/>
      <c r="I39" s="14"/>
      <c r="J39" s="1"/>
      <c r="K39" s="14"/>
      <c r="L39" s="14"/>
      <c r="N39" s="1"/>
      <c r="P39" s="6" t="b">
        <v>0</v>
      </c>
    </row>
    <row r="40" spans="1:16" x14ac:dyDescent="0.35">
      <c r="A40" s="4"/>
      <c r="B40" s="1"/>
      <c r="C40" s="4"/>
      <c r="D40" s="1"/>
      <c r="E40" s="1"/>
      <c r="F40" s="1"/>
      <c r="G40" s="1"/>
      <c r="H40" s="14"/>
      <c r="I40" s="14"/>
      <c r="J40" s="1"/>
      <c r="K40" s="14"/>
      <c r="L40" s="14"/>
      <c r="N40" s="1"/>
      <c r="P40" s="6" t="b">
        <v>0</v>
      </c>
    </row>
    <row r="41" spans="1:16" x14ac:dyDescent="0.35">
      <c r="A41" s="4"/>
      <c r="B41" s="1"/>
      <c r="C41" s="4"/>
      <c r="D41" s="1"/>
      <c r="E41" s="1"/>
      <c r="F41" s="1"/>
      <c r="G41" s="1"/>
      <c r="H41" s="14"/>
      <c r="I41" s="14"/>
      <c r="J41" s="1"/>
      <c r="K41" s="14"/>
      <c r="L41" s="14"/>
      <c r="N41" s="1"/>
      <c r="P41" s="6" t="b">
        <v>0</v>
      </c>
    </row>
    <row r="42" spans="1:16" x14ac:dyDescent="0.35">
      <c r="A42" s="4"/>
      <c r="B42" s="1"/>
      <c r="C42" s="4"/>
      <c r="D42" s="1"/>
      <c r="E42" s="1"/>
      <c r="F42" s="1"/>
      <c r="G42" s="1"/>
      <c r="H42" s="14"/>
      <c r="I42" s="14"/>
      <c r="J42" s="1"/>
      <c r="K42" s="14"/>
      <c r="L42" s="14"/>
      <c r="N42" s="1"/>
      <c r="P42" s="6" t="b">
        <v>0</v>
      </c>
    </row>
    <row r="43" spans="1:16" x14ac:dyDescent="0.35">
      <c r="A43" s="4"/>
      <c r="B43" s="1"/>
      <c r="C43" s="4"/>
      <c r="D43" s="1"/>
      <c r="E43" s="1"/>
      <c r="F43" s="1"/>
      <c r="G43" s="1"/>
      <c r="H43" s="14"/>
      <c r="I43" s="14"/>
      <c r="J43" s="1"/>
      <c r="K43" s="14"/>
      <c r="L43" s="14"/>
      <c r="N43" s="1"/>
      <c r="P43" s="6" t="b">
        <v>0</v>
      </c>
    </row>
    <row r="44" spans="1:16" x14ac:dyDescent="0.35">
      <c r="A44" s="4"/>
      <c r="B44" s="1"/>
      <c r="C44" s="4"/>
      <c r="D44" s="1"/>
      <c r="E44" s="1"/>
      <c r="F44" s="1"/>
      <c r="G44" s="1"/>
      <c r="H44" s="14"/>
      <c r="I44" s="14"/>
      <c r="J44" s="1"/>
      <c r="K44" s="14"/>
      <c r="L44" s="14"/>
      <c r="N44" s="1"/>
      <c r="P44" s="6" t="b">
        <v>0</v>
      </c>
    </row>
    <row r="45" spans="1:16" x14ac:dyDescent="0.35">
      <c r="A45" s="4"/>
      <c r="B45" s="1"/>
      <c r="C45" s="4"/>
      <c r="D45" s="1"/>
      <c r="E45" s="1"/>
      <c r="F45" s="1"/>
      <c r="G45" s="1"/>
      <c r="H45" s="14"/>
      <c r="I45" s="14"/>
      <c r="J45" s="1"/>
      <c r="K45" s="14"/>
      <c r="L45" s="14"/>
      <c r="N45" s="1"/>
      <c r="P45" s="6" t="b">
        <v>0</v>
      </c>
    </row>
    <row r="46" spans="1:16" x14ac:dyDescent="0.35">
      <c r="A46" s="4"/>
      <c r="B46" s="1"/>
      <c r="C46" s="4"/>
      <c r="D46" s="1"/>
      <c r="E46" s="1"/>
      <c r="F46" s="1"/>
      <c r="G46" s="1"/>
      <c r="H46" s="14"/>
      <c r="I46" s="14"/>
      <c r="J46" s="1"/>
      <c r="K46" s="14"/>
      <c r="L46" s="14"/>
      <c r="N46" s="1"/>
      <c r="P46" s="6" t="b">
        <v>0</v>
      </c>
    </row>
    <row r="47" spans="1:16" x14ac:dyDescent="0.35">
      <c r="A47" s="4"/>
      <c r="B47" s="1"/>
      <c r="C47" s="4"/>
      <c r="D47" s="1"/>
      <c r="E47" s="1"/>
      <c r="F47" s="1"/>
      <c r="G47" s="1"/>
      <c r="H47" s="14"/>
      <c r="I47" s="14"/>
      <c r="J47" s="1"/>
      <c r="K47" s="14"/>
      <c r="L47" s="14"/>
      <c r="N47" s="1"/>
      <c r="P47" s="6" t="b">
        <v>0</v>
      </c>
    </row>
    <row r="48" spans="1:16" x14ac:dyDescent="0.35">
      <c r="A48" s="4"/>
      <c r="B48" s="1"/>
      <c r="C48" s="4"/>
      <c r="D48" s="1"/>
      <c r="E48" s="1"/>
      <c r="F48" s="1"/>
      <c r="G48" s="1"/>
      <c r="H48" s="14"/>
      <c r="I48" s="14"/>
      <c r="J48" s="1"/>
      <c r="K48" s="14"/>
      <c r="L48" s="14"/>
      <c r="N48" s="1"/>
      <c r="P48" s="6" t="b">
        <v>0</v>
      </c>
    </row>
    <row r="49" spans="1:16" x14ac:dyDescent="0.35">
      <c r="A49" s="4"/>
      <c r="B49" s="1"/>
      <c r="C49" s="4"/>
      <c r="D49" s="1"/>
      <c r="E49" s="1"/>
      <c r="F49" s="1"/>
      <c r="G49" s="1"/>
      <c r="H49" s="14"/>
      <c r="I49" s="14"/>
      <c r="J49" s="1"/>
      <c r="K49" s="14"/>
      <c r="L49" s="14"/>
      <c r="N49" s="1"/>
      <c r="P49" s="6" t="b">
        <v>0</v>
      </c>
    </row>
    <row r="50" spans="1:16" x14ac:dyDescent="0.35">
      <c r="F50" s="1"/>
      <c r="G50" s="1"/>
      <c r="J50" s="1"/>
      <c r="N50" s="1"/>
      <c r="P50" s="6" t="b">
        <v>0</v>
      </c>
    </row>
    <row r="51" spans="1:16" x14ac:dyDescent="0.35">
      <c r="F51" s="1"/>
      <c r="G51" s="1"/>
      <c r="J51" s="1"/>
      <c r="N51" s="1"/>
      <c r="P51" s="6" t="b">
        <v>0</v>
      </c>
    </row>
    <row r="52" spans="1:16" x14ac:dyDescent="0.35">
      <c r="F52" s="1"/>
      <c r="G52" s="1"/>
      <c r="J52" s="1"/>
      <c r="N52" s="1"/>
      <c r="P52" s="6" t="b">
        <v>0</v>
      </c>
    </row>
    <row r="53" spans="1:16" x14ac:dyDescent="0.35">
      <c r="F53" s="1"/>
      <c r="G53" s="1"/>
      <c r="J53" s="1"/>
      <c r="N53" s="1"/>
      <c r="P53" s="6" t="b">
        <v>0</v>
      </c>
    </row>
    <row r="54" spans="1:16" x14ac:dyDescent="0.35">
      <c r="F54" s="1"/>
      <c r="G54" s="1"/>
      <c r="J54" s="1"/>
      <c r="N54" s="1"/>
      <c r="P54" s="6" t="b">
        <v>0</v>
      </c>
    </row>
    <row r="55" spans="1:16" x14ac:dyDescent="0.35">
      <c r="F55" s="1"/>
      <c r="G55" s="1"/>
      <c r="J55" s="1"/>
      <c r="N55" s="1"/>
      <c r="P55" s="6" t="b">
        <v>0</v>
      </c>
    </row>
    <row r="56" spans="1:16" x14ac:dyDescent="0.35">
      <c r="F56" s="1"/>
      <c r="G56" s="1"/>
      <c r="J56" s="1"/>
      <c r="N56" s="1"/>
      <c r="P56" s="6" t="b">
        <v>0</v>
      </c>
    </row>
    <row r="57" spans="1:16" x14ac:dyDescent="0.35">
      <c r="F57" s="1"/>
      <c r="G57" s="1"/>
      <c r="J57" s="1"/>
      <c r="N57" s="1"/>
      <c r="P57" s="6" t="b">
        <v>0</v>
      </c>
    </row>
    <row r="58" spans="1:16" x14ac:dyDescent="0.35">
      <c r="F58" s="1"/>
      <c r="G58" s="1"/>
      <c r="J58" s="1"/>
      <c r="N58" s="1"/>
      <c r="P58" s="6" t="b">
        <v>0</v>
      </c>
    </row>
    <row r="59" spans="1:16" x14ac:dyDescent="0.35">
      <c r="F59" s="1"/>
      <c r="G59" s="1"/>
      <c r="J59" s="1"/>
      <c r="N59" s="1"/>
      <c r="P59" s="6" t="b">
        <v>0</v>
      </c>
    </row>
    <row r="60" spans="1:16" x14ac:dyDescent="0.35">
      <c r="F60" s="1"/>
      <c r="G60" s="1"/>
      <c r="J60" s="1"/>
      <c r="N60" s="1"/>
      <c r="P60" s="6" t="b">
        <v>0</v>
      </c>
    </row>
    <row r="61" spans="1:16" x14ac:dyDescent="0.35">
      <c r="F61" s="1"/>
      <c r="G61" s="1"/>
      <c r="J61" s="1"/>
      <c r="N61" s="1"/>
      <c r="P61" s="6" t="b">
        <v>0</v>
      </c>
    </row>
    <row r="62" spans="1:16" x14ac:dyDescent="0.35">
      <c r="F62" s="1"/>
      <c r="G62" s="1"/>
      <c r="J62" s="1"/>
      <c r="N62" s="1"/>
      <c r="P62" s="6" t="b">
        <v>0</v>
      </c>
    </row>
    <row r="63" spans="1:16" x14ac:dyDescent="0.35">
      <c r="F63" s="1"/>
      <c r="G63" s="1"/>
      <c r="J63" s="1"/>
      <c r="N63" s="1"/>
      <c r="P63" s="6" t="b">
        <v>0</v>
      </c>
    </row>
    <row r="64" spans="1:16" x14ac:dyDescent="0.35">
      <c r="F64" s="1"/>
      <c r="G64" s="1"/>
      <c r="J64" s="1"/>
      <c r="N64" s="1"/>
      <c r="P64" s="6" t="b">
        <v>0</v>
      </c>
    </row>
    <row r="65" spans="6:16" x14ac:dyDescent="0.35">
      <c r="F65" s="1"/>
      <c r="G65" s="1"/>
      <c r="J65" s="1"/>
      <c r="N65" s="1"/>
      <c r="P65" s="6" t="b">
        <v>0</v>
      </c>
    </row>
    <row r="66" spans="6:16" x14ac:dyDescent="0.35">
      <c r="F66" s="1"/>
      <c r="G66" s="1"/>
      <c r="J66" s="1"/>
      <c r="N66" s="1"/>
      <c r="P66" s="6" t="b">
        <v>0</v>
      </c>
    </row>
    <row r="67" spans="6:16" x14ac:dyDescent="0.35">
      <c r="F67" s="1"/>
      <c r="G67" s="1"/>
      <c r="J67" s="1"/>
      <c r="N67" s="1"/>
      <c r="P67" s="6" t="b">
        <v>0</v>
      </c>
    </row>
    <row r="68" spans="6:16" x14ac:dyDescent="0.35">
      <c r="F68" s="1"/>
      <c r="G68" s="1"/>
      <c r="J68" s="1"/>
      <c r="N68" s="1"/>
      <c r="P68" s="6" t="b">
        <v>0</v>
      </c>
    </row>
    <row r="69" spans="6:16" x14ac:dyDescent="0.35">
      <c r="F69" s="1"/>
      <c r="G69" s="1"/>
      <c r="J69" s="1"/>
      <c r="N69" s="1"/>
      <c r="P69" s="6" t="b">
        <v>0</v>
      </c>
    </row>
    <row r="70" spans="6:16" x14ac:dyDescent="0.35">
      <c r="F70" s="1"/>
      <c r="G70" s="1"/>
      <c r="J70" s="1"/>
      <c r="N70" s="1"/>
      <c r="P70" s="6" t="b">
        <v>0</v>
      </c>
    </row>
    <row r="71" spans="6:16" x14ac:dyDescent="0.35">
      <c r="F71" s="1"/>
      <c r="G71" s="1"/>
      <c r="J71" s="1"/>
      <c r="N71" s="1"/>
      <c r="P71" s="6" t="b">
        <v>0</v>
      </c>
    </row>
    <row r="72" spans="6:16" x14ac:dyDescent="0.35">
      <c r="F72" s="1"/>
      <c r="G72" s="1"/>
      <c r="J72" s="1"/>
      <c r="N72" s="1"/>
      <c r="P72" s="6" t="b">
        <v>0</v>
      </c>
    </row>
    <row r="73" spans="6:16" x14ac:dyDescent="0.35">
      <c r="F73" s="1"/>
      <c r="G73" s="1"/>
      <c r="J73" s="1"/>
      <c r="N73" s="1"/>
      <c r="P73" s="6" t="b">
        <v>0</v>
      </c>
    </row>
    <row r="74" spans="6:16" x14ac:dyDescent="0.35">
      <c r="F74" s="1"/>
      <c r="G74" s="1"/>
      <c r="J74" s="1"/>
      <c r="N74" s="1"/>
      <c r="P74" s="6" t="b">
        <v>0</v>
      </c>
    </row>
    <row r="75" spans="6:16" x14ac:dyDescent="0.35">
      <c r="F75" s="1"/>
      <c r="G75" s="1"/>
      <c r="J75" s="1"/>
      <c r="N75" s="1"/>
      <c r="P75" s="6" t="b">
        <v>0</v>
      </c>
    </row>
    <row r="76" spans="6:16" x14ac:dyDescent="0.35">
      <c r="F76" s="1"/>
      <c r="G76" s="1"/>
      <c r="J76" s="1"/>
      <c r="N76" s="1"/>
      <c r="P76" s="6" t="b">
        <v>0</v>
      </c>
    </row>
    <row r="77" spans="6:16" x14ac:dyDescent="0.35">
      <c r="F77" s="1"/>
      <c r="G77" s="1"/>
      <c r="J77" s="1"/>
      <c r="N77" s="1"/>
      <c r="P77" s="6" t="b">
        <v>0</v>
      </c>
    </row>
    <row r="78" spans="6:16" x14ac:dyDescent="0.35">
      <c r="F78" s="1"/>
      <c r="G78" s="1"/>
      <c r="J78" s="1"/>
      <c r="N78" s="1"/>
      <c r="P78" s="6" t="b">
        <v>0</v>
      </c>
    </row>
    <row r="79" spans="6:16" x14ac:dyDescent="0.35">
      <c r="F79" s="1"/>
      <c r="G79" s="1"/>
      <c r="J79" s="1"/>
      <c r="N79" s="1"/>
      <c r="P79" s="6" t="b">
        <v>0</v>
      </c>
    </row>
    <row r="80" spans="6:16" x14ac:dyDescent="0.35">
      <c r="F80" s="1"/>
      <c r="G80" s="1"/>
      <c r="J80" s="1"/>
      <c r="N80" s="1"/>
      <c r="P80" s="6" t="b">
        <v>0</v>
      </c>
    </row>
    <row r="81" spans="6:16" x14ac:dyDescent="0.35">
      <c r="F81" s="1"/>
      <c r="G81" s="1"/>
      <c r="J81" s="1"/>
      <c r="N81" s="1"/>
      <c r="P81" s="6" t="b">
        <v>0</v>
      </c>
    </row>
    <row r="82" spans="6:16" x14ac:dyDescent="0.35">
      <c r="F82" s="1"/>
      <c r="G82" s="1"/>
      <c r="J82" s="1"/>
      <c r="N82" s="1"/>
      <c r="P82" s="6" t="b">
        <v>0</v>
      </c>
    </row>
    <row r="83" spans="6:16" x14ac:dyDescent="0.35">
      <c r="F83" s="1"/>
      <c r="G83" s="1"/>
      <c r="J83" s="1"/>
      <c r="N83" s="1"/>
      <c r="P83" s="6" t="b">
        <v>0</v>
      </c>
    </row>
    <row r="84" spans="6:16" x14ac:dyDescent="0.35">
      <c r="F84" s="1"/>
      <c r="G84" s="1"/>
      <c r="J84" s="1"/>
      <c r="N84" s="1"/>
      <c r="P84" s="6" t="b">
        <v>0</v>
      </c>
    </row>
    <row r="85" spans="6:16" x14ac:dyDescent="0.35">
      <c r="F85" s="1"/>
      <c r="G85" s="1"/>
      <c r="J85" s="1"/>
      <c r="N85" s="1"/>
      <c r="P85" s="6" t="b">
        <v>0</v>
      </c>
    </row>
    <row r="86" spans="6:16" x14ac:dyDescent="0.35">
      <c r="F86" s="1"/>
      <c r="G86" s="1"/>
      <c r="J86" s="1"/>
      <c r="N86" s="1"/>
      <c r="P86" s="6" t="b">
        <v>0</v>
      </c>
    </row>
    <row r="87" spans="6:16" x14ac:dyDescent="0.35">
      <c r="F87" s="1"/>
      <c r="G87" s="1"/>
      <c r="J87" s="1"/>
      <c r="N87" s="1"/>
      <c r="P87" s="6" t="b">
        <v>0</v>
      </c>
    </row>
    <row r="88" spans="6:16" x14ac:dyDescent="0.35">
      <c r="F88" s="1"/>
      <c r="G88" s="1"/>
      <c r="J88" s="1"/>
      <c r="N88" s="1"/>
      <c r="P88" s="6" t="b">
        <v>0</v>
      </c>
    </row>
    <row r="89" spans="6:16" x14ac:dyDescent="0.35">
      <c r="F89" s="1"/>
      <c r="G89" s="1"/>
      <c r="J89" s="1"/>
      <c r="N89" s="1"/>
      <c r="P89" s="6" t="b">
        <v>0</v>
      </c>
    </row>
    <row r="90" spans="6:16" x14ac:dyDescent="0.35">
      <c r="F90" s="1"/>
      <c r="G90" s="1"/>
      <c r="J90" s="1"/>
      <c r="N90" s="1"/>
      <c r="P90" s="6" t="b">
        <v>0</v>
      </c>
    </row>
    <row r="91" spans="6:16" x14ac:dyDescent="0.35">
      <c r="F91" s="1"/>
      <c r="G91" s="1"/>
      <c r="J91" s="1"/>
      <c r="N91" s="1"/>
      <c r="P91" s="6" t="b">
        <v>0</v>
      </c>
    </row>
    <row r="92" spans="6:16" x14ac:dyDescent="0.35">
      <c r="F92" s="1"/>
      <c r="G92" s="1"/>
      <c r="J92" s="1"/>
      <c r="N92" s="1"/>
      <c r="P92" s="6" t="b">
        <v>0</v>
      </c>
    </row>
    <row r="93" spans="6:16" x14ac:dyDescent="0.35">
      <c r="F93" s="1"/>
      <c r="G93" s="1"/>
      <c r="J93" s="1"/>
      <c r="N93" s="1"/>
      <c r="P93" s="6" t="b">
        <v>0</v>
      </c>
    </row>
    <row r="94" spans="6:16" x14ac:dyDescent="0.35">
      <c r="G94" s="1"/>
      <c r="J94" s="1"/>
      <c r="N94" s="1"/>
      <c r="P94" s="6" t="b">
        <v>0</v>
      </c>
    </row>
    <row r="95" spans="6:16" x14ac:dyDescent="0.35">
      <c r="G95" s="1"/>
      <c r="J95" s="1"/>
      <c r="N95" s="1"/>
      <c r="P95" s="6" t="b">
        <v>0</v>
      </c>
    </row>
    <row r="96" spans="6:16" x14ac:dyDescent="0.35">
      <c r="G96" s="1"/>
      <c r="J96" s="1"/>
      <c r="N96" s="1"/>
      <c r="P96" s="6" t="b">
        <v>0</v>
      </c>
    </row>
    <row r="97" spans="7:16" x14ac:dyDescent="0.35">
      <c r="G97" s="1"/>
      <c r="J97" s="1"/>
      <c r="N97" s="1"/>
      <c r="P97" s="6" t="b">
        <v>0</v>
      </c>
    </row>
    <row r="98" spans="7:16" x14ac:dyDescent="0.35">
      <c r="G98" s="1"/>
      <c r="J98" s="1"/>
      <c r="N98" s="1"/>
      <c r="P98" s="6" t="b">
        <v>0</v>
      </c>
    </row>
  </sheetData>
  <dataValidations count="2">
    <dataValidation type="list" allowBlank="1" showInputMessage="1" showErrorMessage="1" sqref="J99:J1048576" xr:uid="{9ED266B8-4219-4969-9184-AC19176DA271}">
      <formula1>$B$3:$B$332</formula1>
    </dataValidation>
    <dataValidation type="list" allowBlank="1" showInputMessage="1" showErrorMessage="1" sqref="N99:N1048576 O25:O1048576" xr:uid="{A24CEC78-30CA-452B-AB08-703165FF9893}">
      <formula1>#REF!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19"/>
  <sheetViews>
    <sheetView workbookViewId="0">
      <selection activeCell="D8" sqref="D8"/>
    </sheetView>
  </sheetViews>
  <sheetFormatPr defaultRowHeight="14.5" x14ac:dyDescent="0.35"/>
  <cols>
    <col min="1" max="1" width="16.1796875" bestFit="1" customWidth="1"/>
    <col min="2" max="2" width="4" bestFit="1" customWidth="1"/>
  </cols>
  <sheetData>
    <row r="1" spans="1:4" x14ac:dyDescent="0.35">
      <c r="A1" t="s">
        <v>84</v>
      </c>
      <c r="B1" t="s">
        <v>74</v>
      </c>
      <c r="C1" t="s">
        <v>85</v>
      </c>
      <c r="D1" t="s">
        <v>86</v>
      </c>
    </row>
    <row r="2" spans="1:4" x14ac:dyDescent="0.35">
      <c r="A2" t="s">
        <v>87</v>
      </c>
      <c r="B2" t="s">
        <v>79</v>
      </c>
      <c r="C2" t="s">
        <v>88</v>
      </c>
      <c r="D2" t="s">
        <v>89</v>
      </c>
    </row>
    <row r="3" spans="1:4" x14ac:dyDescent="0.35">
      <c r="A3" t="s">
        <v>90</v>
      </c>
      <c r="B3" t="s">
        <v>81</v>
      </c>
      <c r="C3" t="s">
        <v>91</v>
      </c>
      <c r="D3" t="s">
        <v>92</v>
      </c>
    </row>
    <row r="4" spans="1:4" x14ac:dyDescent="0.35">
      <c r="A4" t="s">
        <v>93</v>
      </c>
      <c r="B4" t="s">
        <v>94</v>
      </c>
      <c r="C4" t="s">
        <v>75</v>
      </c>
      <c r="D4" t="s">
        <v>95</v>
      </c>
    </row>
    <row r="5" spans="1:4" x14ac:dyDescent="0.35">
      <c r="A5" t="s">
        <v>96</v>
      </c>
      <c r="B5" t="s">
        <v>97</v>
      </c>
      <c r="C5" t="s">
        <v>82</v>
      </c>
      <c r="D5" t="s">
        <v>98</v>
      </c>
    </row>
    <row r="6" spans="1:4" x14ac:dyDescent="0.35">
      <c r="A6" t="s">
        <v>99</v>
      </c>
      <c r="B6" t="s">
        <v>100</v>
      </c>
      <c r="C6" t="s">
        <v>101</v>
      </c>
      <c r="D6" t="s">
        <v>76</v>
      </c>
    </row>
    <row r="7" spans="1:4" x14ac:dyDescent="0.35">
      <c r="A7" t="s">
        <v>102</v>
      </c>
      <c r="B7" t="s">
        <v>103</v>
      </c>
      <c r="D7" t="s">
        <v>104</v>
      </c>
    </row>
    <row r="8" spans="1:4" x14ac:dyDescent="0.35">
      <c r="A8" t="s">
        <v>105</v>
      </c>
      <c r="B8" t="s">
        <v>106</v>
      </c>
      <c r="D8" t="s">
        <v>107</v>
      </c>
    </row>
    <row r="9" spans="1:4" x14ac:dyDescent="0.35">
      <c r="A9" t="s">
        <v>108</v>
      </c>
      <c r="B9" t="s">
        <v>109</v>
      </c>
      <c r="D9" t="s">
        <v>110</v>
      </c>
    </row>
    <row r="10" spans="1:4" x14ac:dyDescent="0.35">
      <c r="A10" t="s">
        <v>111</v>
      </c>
      <c r="B10" t="s">
        <v>112</v>
      </c>
      <c r="D10" t="s">
        <v>113</v>
      </c>
    </row>
    <row r="11" spans="1:4" x14ac:dyDescent="0.35">
      <c r="A11" t="s">
        <v>114</v>
      </c>
      <c r="D11" t="s">
        <v>115</v>
      </c>
    </row>
    <row r="12" spans="1:4" x14ac:dyDescent="0.35">
      <c r="A12" t="s">
        <v>116</v>
      </c>
      <c r="D12" t="s">
        <v>117</v>
      </c>
    </row>
    <row r="13" spans="1:4" x14ac:dyDescent="0.35">
      <c r="A13" t="s">
        <v>118</v>
      </c>
    </row>
    <row r="14" spans="1:4" x14ac:dyDescent="0.35">
      <c r="A14" t="s">
        <v>119</v>
      </c>
    </row>
    <row r="15" spans="1:4" x14ac:dyDescent="0.35">
      <c r="A15" t="s">
        <v>120</v>
      </c>
    </row>
    <row r="16" spans="1:4" x14ac:dyDescent="0.35">
      <c r="A16" t="s">
        <v>121</v>
      </c>
    </row>
    <row r="17" spans="1:1" x14ac:dyDescent="0.35">
      <c r="A17" t="s">
        <v>122</v>
      </c>
    </row>
    <row r="18" spans="1:1" x14ac:dyDescent="0.35">
      <c r="A18" t="s">
        <v>123</v>
      </c>
    </row>
    <row r="19" spans="1:1" x14ac:dyDescent="0.35">
      <c r="A19" t="s">
        <v>124</v>
      </c>
    </row>
  </sheetData>
  <sortState xmlns:xlrd2="http://schemas.microsoft.com/office/spreadsheetml/2017/richdata2" ref="A1:A19">
    <sortCondition ref="A1:A19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A9A0D-8014-4BF1-9902-8129B810EB44}">
  <dimension ref="A1:P2517"/>
  <sheetViews>
    <sheetView zoomScale="85" zoomScaleNormal="85" workbookViewId="0">
      <selection activeCell="I14" sqref="I14"/>
    </sheetView>
  </sheetViews>
  <sheetFormatPr defaultRowHeight="14.5" x14ac:dyDescent="0.35"/>
  <cols>
    <col min="1" max="1" width="10.81640625" style="2" customWidth="1"/>
    <col min="2" max="2" width="12.54296875" style="2" bestFit="1" customWidth="1"/>
    <col min="3" max="3" width="12.54296875" style="2" customWidth="1"/>
    <col min="4" max="4" width="10.453125" style="2" bestFit="1" customWidth="1"/>
    <col min="5" max="6" width="10.453125" style="2" customWidth="1"/>
    <col min="7" max="7" width="20.81640625" style="2" customWidth="1"/>
    <col min="8" max="9" width="25.81640625" style="2" customWidth="1"/>
    <col min="10" max="10" width="20.81640625" style="2" customWidth="1"/>
    <col min="11" max="11" width="12.81640625" style="2" customWidth="1"/>
    <col min="12" max="12" width="20.81640625" style="2" customWidth="1"/>
    <col min="13" max="13" width="12.81640625" style="2" customWidth="1"/>
    <col min="14" max="14" width="20.81640625" style="2" customWidth="1"/>
    <col min="15" max="15" width="12.81640625" style="2" customWidth="1"/>
    <col min="16" max="16" width="20.81640625" customWidth="1"/>
  </cols>
  <sheetData>
    <row r="1" spans="1:16" ht="60" customHeight="1" x14ac:dyDescent="0.35">
      <c r="G1" s="11" t="s">
        <v>37</v>
      </c>
      <c r="P1" s="12" t="s">
        <v>38</v>
      </c>
    </row>
    <row r="2" spans="1:16" x14ac:dyDescent="0.35">
      <c r="A2" s="10" t="s">
        <v>40</v>
      </c>
      <c r="B2" s="10" t="s">
        <v>41</v>
      </c>
      <c r="C2" s="10" t="s">
        <v>42</v>
      </c>
      <c r="D2" s="10" t="s">
        <v>43</v>
      </c>
      <c r="E2" s="10" t="s">
        <v>44</v>
      </c>
      <c r="F2" s="10" t="s">
        <v>45</v>
      </c>
      <c r="G2" s="10" t="s">
        <v>46</v>
      </c>
      <c r="H2" s="10" t="s">
        <v>47</v>
      </c>
      <c r="I2" s="10" t="s">
        <v>48</v>
      </c>
      <c r="J2" s="10" t="s">
        <v>49</v>
      </c>
      <c r="K2" s="10" t="s">
        <v>69</v>
      </c>
      <c r="L2" s="10" t="s">
        <v>50</v>
      </c>
      <c r="M2" s="10" t="s">
        <v>70</v>
      </c>
      <c r="N2" s="10" t="s">
        <v>51</v>
      </c>
      <c r="O2" s="10" t="s">
        <v>71</v>
      </c>
      <c r="P2" s="5" t="s">
        <v>55</v>
      </c>
    </row>
    <row r="3" spans="1:16" x14ac:dyDescent="0.35">
      <c r="A3" s="4" t="s">
        <v>72</v>
      </c>
      <c r="B3" s="1" t="s">
        <v>73</v>
      </c>
      <c r="C3" s="1" t="s">
        <v>74</v>
      </c>
      <c r="D3" s="1">
        <v>25</v>
      </c>
      <c r="E3" s="1" t="s">
        <v>75</v>
      </c>
      <c r="F3" s="1" t="s">
        <v>76</v>
      </c>
      <c r="G3" s="1">
        <v>3</v>
      </c>
      <c r="H3" s="1" t="s">
        <v>77</v>
      </c>
      <c r="I3" s="1" t="s">
        <v>78</v>
      </c>
      <c r="J3" s="1"/>
      <c r="K3" s="1"/>
      <c r="L3" s="1"/>
      <c r="M3" s="1"/>
      <c r="N3" s="1"/>
      <c r="O3" s="1"/>
      <c r="P3" s="6" t="b">
        <v>0</v>
      </c>
    </row>
    <row r="4" spans="1:16" x14ac:dyDescent="0.35">
      <c r="A4" s="4"/>
      <c r="B4" s="1" t="s">
        <v>73</v>
      </c>
      <c r="C4" s="1" t="s">
        <v>79</v>
      </c>
      <c r="D4" s="1">
        <v>25</v>
      </c>
      <c r="E4" s="1" t="s">
        <v>75</v>
      </c>
      <c r="F4" s="1" t="s">
        <v>76</v>
      </c>
      <c r="G4" s="1">
        <v>3</v>
      </c>
      <c r="H4" s="1" t="s">
        <v>80</v>
      </c>
      <c r="I4" s="1" t="s">
        <v>78</v>
      </c>
      <c r="J4" s="1"/>
      <c r="K4" s="1"/>
      <c r="L4" s="1"/>
      <c r="M4" s="1"/>
      <c r="N4" s="1"/>
      <c r="O4" s="1"/>
      <c r="P4" s="6" t="b">
        <v>0</v>
      </c>
    </row>
    <row r="5" spans="1:16" x14ac:dyDescent="0.35">
      <c r="A5" s="4"/>
      <c r="B5" s="1" t="s">
        <v>73</v>
      </c>
      <c r="C5" s="1" t="s">
        <v>81</v>
      </c>
      <c r="D5" s="1">
        <v>25</v>
      </c>
      <c r="E5" s="1" t="s">
        <v>82</v>
      </c>
      <c r="F5" s="1" t="s">
        <v>76</v>
      </c>
      <c r="G5" s="1">
        <v>3</v>
      </c>
      <c r="H5" s="1" t="s">
        <v>83</v>
      </c>
      <c r="I5" s="1" t="s">
        <v>78</v>
      </c>
      <c r="J5" s="1"/>
      <c r="K5" s="1"/>
      <c r="L5" s="1"/>
      <c r="M5" s="1"/>
      <c r="N5" s="1"/>
      <c r="O5" s="1"/>
      <c r="P5" s="6" t="b">
        <v>0</v>
      </c>
    </row>
    <row r="6" spans="1:16" x14ac:dyDescent="0.35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6" t="b">
        <v>0</v>
      </c>
    </row>
    <row r="7" spans="1:16" x14ac:dyDescent="0.35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6" t="b">
        <v>0</v>
      </c>
    </row>
    <row r="8" spans="1:16" x14ac:dyDescent="0.35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6" t="b">
        <v>0</v>
      </c>
    </row>
    <row r="9" spans="1:16" x14ac:dyDescent="0.35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6" t="b">
        <v>0</v>
      </c>
    </row>
    <row r="10" spans="1:16" x14ac:dyDescent="0.35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6" t="b">
        <v>0</v>
      </c>
    </row>
    <row r="11" spans="1:16" x14ac:dyDescent="0.35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6" t="b">
        <v>0</v>
      </c>
    </row>
    <row r="12" spans="1:16" x14ac:dyDescent="0.35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6" t="b">
        <v>0</v>
      </c>
    </row>
    <row r="13" spans="1:16" x14ac:dyDescent="0.35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6" t="b">
        <v>0</v>
      </c>
    </row>
    <row r="14" spans="1:16" x14ac:dyDescent="0.35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6" t="b">
        <v>0</v>
      </c>
    </row>
    <row r="15" spans="1:16" x14ac:dyDescent="0.35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6" t="b">
        <v>0</v>
      </c>
    </row>
    <row r="16" spans="1:16" x14ac:dyDescent="0.35">
      <c r="C16" s="1"/>
      <c r="D16" s="1"/>
      <c r="E16" s="1"/>
      <c r="F16" s="1"/>
      <c r="G16" s="1"/>
      <c r="J16" s="1"/>
      <c r="K16" s="1"/>
      <c r="L16" s="1"/>
      <c r="M16" s="1"/>
      <c r="N16" s="1"/>
      <c r="O16" s="1"/>
      <c r="P16" s="6" t="b">
        <v>0</v>
      </c>
    </row>
    <row r="17" spans="3:16" x14ac:dyDescent="0.35">
      <c r="C17" s="1"/>
      <c r="D17" s="1"/>
      <c r="E17" s="1"/>
      <c r="F17" s="1"/>
      <c r="G17" s="1"/>
      <c r="J17" s="1"/>
      <c r="K17" s="1"/>
      <c r="L17" s="1"/>
      <c r="M17" s="1"/>
      <c r="N17" s="1"/>
      <c r="O17" s="1"/>
      <c r="P17" s="6" t="b">
        <v>0</v>
      </c>
    </row>
    <row r="18" spans="3:16" x14ac:dyDescent="0.35">
      <c r="C18" s="1"/>
      <c r="D18" s="1"/>
      <c r="E18" s="1"/>
      <c r="F18" s="1"/>
      <c r="G18" s="1"/>
      <c r="J18" s="1"/>
      <c r="K18" s="1"/>
      <c r="L18" s="1"/>
      <c r="M18" s="1"/>
      <c r="N18" s="1"/>
      <c r="O18" s="1"/>
      <c r="P18" s="6" t="b">
        <v>0</v>
      </c>
    </row>
    <row r="19" spans="3:16" x14ac:dyDescent="0.35">
      <c r="C19" s="1"/>
      <c r="D19" s="1"/>
      <c r="E19" s="1"/>
      <c r="F19" s="1"/>
      <c r="G19" s="1"/>
      <c r="J19" s="1"/>
      <c r="K19" s="1"/>
      <c r="L19" s="1"/>
      <c r="M19" s="1"/>
      <c r="N19" s="1"/>
      <c r="O19" s="1"/>
      <c r="P19" s="6" t="b">
        <v>0</v>
      </c>
    </row>
    <row r="20" spans="3:16" x14ac:dyDescent="0.35">
      <c r="C20" s="1"/>
      <c r="D20" s="1"/>
      <c r="E20" s="1"/>
      <c r="F20" s="1"/>
      <c r="G20" s="1"/>
      <c r="J20" s="1"/>
      <c r="K20" s="1"/>
      <c r="L20" s="1"/>
      <c r="M20" s="1"/>
      <c r="N20" s="1"/>
      <c r="O20" s="1"/>
      <c r="P20" s="6" t="b">
        <v>0</v>
      </c>
    </row>
    <row r="21" spans="3:16" x14ac:dyDescent="0.35">
      <c r="C21" s="1"/>
      <c r="D21" s="1"/>
      <c r="E21" s="1"/>
      <c r="F21" s="1"/>
      <c r="G21" s="1"/>
      <c r="J21" s="1"/>
      <c r="K21" s="1"/>
      <c r="L21" s="1"/>
      <c r="M21" s="1"/>
      <c r="N21" s="1"/>
      <c r="O21" s="1"/>
      <c r="P21" s="6" t="b">
        <v>0</v>
      </c>
    </row>
    <row r="22" spans="3:16" x14ac:dyDescent="0.35">
      <c r="C22" s="1"/>
      <c r="D22" s="1"/>
      <c r="E22" s="1"/>
      <c r="F22" s="1"/>
      <c r="G22" s="1"/>
      <c r="J22" s="1"/>
      <c r="K22" s="1"/>
      <c r="L22" s="1"/>
      <c r="M22" s="1"/>
      <c r="N22" s="1"/>
      <c r="O22" s="1"/>
      <c r="P22" s="6" t="b">
        <v>0</v>
      </c>
    </row>
    <row r="23" spans="3:16" x14ac:dyDescent="0.35">
      <c r="C23" s="1"/>
      <c r="D23" s="1"/>
      <c r="E23" s="1"/>
      <c r="F23" s="1"/>
      <c r="G23" s="1"/>
      <c r="J23" s="1"/>
      <c r="K23" s="1"/>
      <c r="L23" s="1"/>
      <c r="M23" s="1"/>
      <c r="N23" s="1"/>
      <c r="O23" s="1"/>
      <c r="P23" s="6" t="b">
        <v>0</v>
      </c>
    </row>
    <row r="24" spans="3:16" x14ac:dyDescent="0.35">
      <c r="C24" s="1"/>
      <c r="D24" s="1"/>
      <c r="E24" s="1"/>
      <c r="F24" s="1"/>
      <c r="G24" s="1"/>
      <c r="J24" s="1"/>
      <c r="K24" s="1"/>
      <c r="L24" s="1"/>
      <c r="M24" s="1"/>
      <c r="N24" s="1"/>
      <c r="O24" s="1"/>
      <c r="P24" s="6" t="b">
        <v>0</v>
      </c>
    </row>
    <row r="25" spans="3:16" x14ac:dyDescent="0.35">
      <c r="C25" s="1"/>
      <c r="D25" s="1"/>
      <c r="E25" s="1"/>
      <c r="F25" s="1"/>
      <c r="G25" s="1"/>
      <c r="J25" s="1"/>
      <c r="K25" s="1"/>
      <c r="L25" s="1"/>
      <c r="M25" s="1"/>
      <c r="N25" s="1"/>
      <c r="O25" s="1"/>
      <c r="P25" s="6" t="b">
        <v>0</v>
      </c>
    </row>
    <row r="26" spans="3:16" x14ac:dyDescent="0.35">
      <c r="C26" s="1"/>
      <c r="D26" s="1"/>
      <c r="E26" s="1"/>
      <c r="F26" s="1"/>
      <c r="G26" s="1"/>
      <c r="J26" s="1"/>
      <c r="K26" s="1"/>
      <c r="L26" s="1"/>
      <c r="M26" s="1"/>
      <c r="N26" s="1"/>
      <c r="O26" s="1"/>
      <c r="P26" s="6" t="b">
        <v>0</v>
      </c>
    </row>
    <row r="27" spans="3:16" x14ac:dyDescent="0.35">
      <c r="C27" s="1"/>
      <c r="D27" s="1"/>
      <c r="E27" s="1"/>
      <c r="F27" s="1"/>
      <c r="G27" s="1"/>
      <c r="J27" s="1"/>
      <c r="K27" s="1"/>
      <c r="L27" s="1"/>
      <c r="M27" s="1"/>
      <c r="N27" s="1"/>
      <c r="O27" s="1"/>
      <c r="P27" s="6" t="b">
        <v>0</v>
      </c>
    </row>
    <row r="28" spans="3:16" x14ac:dyDescent="0.35">
      <c r="C28" s="1"/>
      <c r="D28" s="1"/>
      <c r="E28" s="1"/>
      <c r="F28" s="1"/>
      <c r="G28" s="1"/>
      <c r="J28" s="1"/>
      <c r="N28" s="1"/>
      <c r="P28" s="6" t="b">
        <v>0</v>
      </c>
    </row>
    <row r="29" spans="3:16" x14ac:dyDescent="0.35">
      <c r="C29" s="1"/>
      <c r="D29" s="1"/>
      <c r="E29" s="1"/>
      <c r="F29" s="1"/>
      <c r="G29" s="1"/>
      <c r="J29" s="1"/>
      <c r="N29" s="1"/>
      <c r="P29" s="6" t="b">
        <v>0</v>
      </c>
    </row>
    <row r="30" spans="3:16" x14ac:dyDescent="0.35">
      <c r="C30" s="1"/>
      <c r="D30" s="1"/>
      <c r="E30" s="1"/>
      <c r="F30" s="1"/>
      <c r="G30" s="1"/>
      <c r="J30" s="1"/>
      <c r="N30" s="1"/>
      <c r="P30" s="6" t="b">
        <v>0</v>
      </c>
    </row>
    <row r="31" spans="3:16" x14ac:dyDescent="0.35">
      <c r="D31" s="1"/>
      <c r="E31" s="1"/>
      <c r="F31" s="1"/>
      <c r="G31" s="1"/>
      <c r="J31" s="1"/>
      <c r="N31" s="1"/>
      <c r="P31" s="6" t="b">
        <v>0</v>
      </c>
    </row>
    <row r="32" spans="3:16" x14ac:dyDescent="0.35">
      <c r="D32" s="1"/>
      <c r="E32" s="1"/>
      <c r="F32" s="1"/>
      <c r="G32" s="1"/>
      <c r="J32" s="1"/>
      <c r="N32" s="1"/>
      <c r="P32" s="6" t="b">
        <v>0</v>
      </c>
    </row>
    <row r="33" spans="4:16" x14ac:dyDescent="0.35">
      <c r="D33" s="1"/>
      <c r="E33" s="1"/>
      <c r="F33" s="1"/>
      <c r="G33" s="1"/>
      <c r="J33" s="1"/>
      <c r="N33" s="1"/>
      <c r="P33" s="6" t="b">
        <v>0</v>
      </c>
    </row>
    <row r="34" spans="4:16" x14ac:dyDescent="0.35">
      <c r="D34" s="1"/>
      <c r="E34" s="1"/>
      <c r="F34" s="1"/>
      <c r="G34" s="1"/>
      <c r="J34" s="1"/>
      <c r="N34" s="1"/>
      <c r="P34" s="6" t="b">
        <v>0</v>
      </c>
    </row>
    <row r="35" spans="4:16" x14ac:dyDescent="0.35">
      <c r="D35" s="1"/>
      <c r="E35" s="1"/>
      <c r="F35" s="1"/>
      <c r="G35" s="1"/>
      <c r="J35" s="1"/>
      <c r="N35" s="1"/>
      <c r="P35" s="6" t="b">
        <v>0</v>
      </c>
    </row>
    <row r="36" spans="4:16" x14ac:dyDescent="0.35">
      <c r="D36" s="1"/>
      <c r="E36" s="1"/>
      <c r="F36" s="1"/>
      <c r="G36" s="1"/>
      <c r="J36" s="1"/>
      <c r="N36" s="1"/>
      <c r="P36" s="6" t="b">
        <v>0</v>
      </c>
    </row>
    <row r="37" spans="4:16" x14ac:dyDescent="0.35">
      <c r="D37" s="1"/>
      <c r="E37" s="1"/>
      <c r="F37" s="1"/>
      <c r="G37" s="1"/>
      <c r="J37" s="1"/>
      <c r="N37" s="1"/>
      <c r="P37" s="6" t="b">
        <v>0</v>
      </c>
    </row>
    <row r="38" spans="4:16" x14ac:dyDescent="0.35">
      <c r="D38" s="1"/>
      <c r="E38" s="1"/>
      <c r="F38" s="1"/>
      <c r="G38" s="1"/>
      <c r="J38" s="1"/>
      <c r="N38" s="1"/>
      <c r="P38" s="6" t="b">
        <v>0</v>
      </c>
    </row>
    <row r="39" spans="4:16" x14ac:dyDescent="0.35">
      <c r="D39" s="1"/>
      <c r="E39" s="1"/>
      <c r="F39" s="1"/>
      <c r="G39" s="1"/>
      <c r="J39" s="1"/>
      <c r="N39" s="1"/>
      <c r="P39" s="6" t="b">
        <v>0</v>
      </c>
    </row>
    <row r="40" spans="4:16" x14ac:dyDescent="0.35">
      <c r="D40" s="1"/>
      <c r="E40" s="1"/>
      <c r="F40" s="1"/>
      <c r="G40" s="1"/>
      <c r="J40" s="1"/>
      <c r="N40" s="1"/>
      <c r="P40" s="6" t="b">
        <v>0</v>
      </c>
    </row>
    <row r="41" spans="4:16" x14ac:dyDescent="0.35">
      <c r="D41" s="1"/>
      <c r="E41" s="1"/>
      <c r="F41" s="1"/>
      <c r="G41" s="1"/>
      <c r="J41" s="1"/>
      <c r="N41" s="1"/>
      <c r="P41" s="6" t="b">
        <v>0</v>
      </c>
    </row>
    <row r="42" spans="4:16" x14ac:dyDescent="0.35">
      <c r="D42" s="1"/>
      <c r="E42" s="1"/>
      <c r="F42" s="1"/>
      <c r="G42" s="1"/>
      <c r="J42" s="1"/>
      <c r="N42" s="1"/>
      <c r="P42" s="6" t="b">
        <v>0</v>
      </c>
    </row>
    <row r="43" spans="4:16" x14ac:dyDescent="0.35">
      <c r="D43" s="1"/>
      <c r="E43" s="1"/>
      <c r="F43" s="1"/>
      <c r="G43" s="1"/>
      <c r="J43" s="1"/>
      <c r="N43" s="1"/>
      <c r="P43" s="6" t="b">
        <v>0</v>
      </c>
    </row>
    <row r="44" spans="4:16" x14ac:dyDescent="0.35">
      <c r="D44" s="1"/>
      <c r="E44" s="1"/>
      <c r="F44" s="1"/>
      <c r="G44" s="1"/>
      <c r="J44" s="1"/>
      <c r="N44" s="1"/>
      <c r="P44" s="6" t="b">
        <v>0</v>
      </c>
    </row>
    <row r="45" spans="4:16" x14ac:dyDescent="0.35">
      <c r="D45" s="1"/>
      <c r="E45" s="1"/>
      <c r="F45" s="1"/>
      <c r="G45" s="1"/>
      <c r="J45" s="1"/>
      <c r="N45" s="1"/>
      <c r="P45" s="6" t="b">
        <v>0</v>
      </c>
    </row>
    <row r="46" spans="4:16" x14ac:dyDescent="0.35">
      <c r="D46" s="1"/>
      <c r="E46" s="1"/>
      <c r="F46" s="1"/>
      <c r="G46" s="1"/>
      <c r="J46" s="1"/>
      <c r="N46" s="1"/>
      <c r="P46" s="6" t="b">
        <v>0</v>
      </c>
    </row>
    <row r="47" spans="4:16" x14ac:dyDescent="0.35">
      <c r="D47" s="1"/>
      <c r="E47" s="1"/>
      <c r="F47" s="1"/>
      <c r="G47" s="1"/>
      <c r="J47" s="1"/>
      <c r="N47" s="1"/>
      <c r="P47" s="6" t="b">
        <v>0</v>
      </c>
    </row>
    <row r="48" spans="4:16" x14ac:dyDescent="0.35">
      <c r="D48" s="1"/>
      <c r="E48" s="1"/>
      <c r="F48" s="1"/>
      <c r="G48" s="1"/>
      <c r="J48" s="1"/>
      <c r="N48" s="1"/>
      <c r="P48" s="6" t="b">
        <v>0</v>
      </c>
    </row>
    <row r="49" spans="4:16" x14ac:dyDescent="0.35">
      <c r="D49" s="1"/>
      <c r="E49" s="1"/>
      <c r="F49" s="1"/>
      <c r="G49" s="1"/>
      <c r="J49" s="1"/>
      <c r="N49" s="1"/>
      <c r="P49" s="6" t="b">
        <v>0</v>
      </c>
    </row>
    <row r="50" spans="4:16" x14ac:dyDescent="0.35">
      <c r="D50" s="1"/>
      <c r="E50" s="1"/>
      <c r="F50" s="1"/>
      <c r="G50" s="1"/>
      <c r="J50" s="1"/>
      <c r="N50" s="1"/>
      <c r="P50" s="6" t="b">
        <v>0</v>
      </c>
    </row>
    <row r="51" spans="4:16" x14ac:dyDescent="0.35">
      <c r="D51" s="1"/>
      <c r="E51" s="1"/>
      <c r="F51" s="1"/>
      <c r="G51" s="1"/>
      <c r="J51" s="1"/>
      <c r="N51" s="1"/>
      <c r="P51" s="6" t="b">
        <v>0</v>
      </c>
    </row>
    <row r="52" spans="4:16" x14ac:dyDescent="0.35">
      <c r="D52" s="1"/>
      <c r="E52" s="1"/>
      <c r="F52" s="1"/>
      <c r="G52" s="1"/>
      <c r="J52" s="1"/>
      <c r="N52" s="1"/>
      <c r="P52" s="6" t="b">
        <v>0</v>
      </c>
    </row>
    <row r="53" spans="4:16" x14ac:dyDescent="0.35">
      <c r="D53" s="1"/>
      <c r="E53" s="1"/>
      <c r="F53" s="1"/>
      <c r="G53" s="1"/>
      <c r="J53" s="1"/>
      <c r="N53" s="1"/>
      <c r="P53" s="6" t="b">
        <v>0</v>
      </c>
    </row>
    <row r="54" spans="4:16" x14ac:dyDescent="0.35">
      <c r="D54" s="1"/>
      <c r="E54" s="1"/>
      <c r="F54" s="1"/>
      <c r="G54" s="1"/>
      <c r="J54" s="1"/>
      <c r="N54" s="1"/>
      <c r="P54" s="6" t="b">
        <v>0</v>
      </c>
    </row>
    <row r="55" spans="4:16" x14ac:dyDescent="0.35">
      <c r="D55" s="1"/>
      <c r="E55" s="1"/>
      <c r="F55" s="1"/>
      <c r="G55" s="1"/>
      <c r="J55" s="1"/>
      <c r="N55" s="1"/>
      <c r="P55" s="6" t="b">
        <v>0</v>
      </c>
    </row>
    <row r="56" spans="4:16" x14ac:dyDescent="0.35">
      <c r="D56" s="1"/>
      <c r="E56" s="1"/>
      <c r="F56" s="1"/>
      <c r="G56" s="1"/>
      <c r="J56" s="1"/>
      <c r="N56" s="1"/>
      <c r="P56" s="6" t="b">
        <v>0</v>
      </c>
    </row>
    <row r="57" spans="4:16" x14ac:dyDescent="0.35">
      <c r="D57" s="1"/>
      <c r="E57" s="1"/>
      <c r="F57" s="1"/>
      <c r="G57" s="1"/>
      <c r="J57" s="1"/>
      <c r="N57" s="1"/>
      <c r="P57" s="6" t="b">
        <v>0</v>
      </c>
    </row>
    <row r="58" spans="4:16" x14ac:dyDescent="0.35">
      <c r="D58" s="1"/>
      <c r="E58" s="1"/>
      <c r="F58" s="1"/>
      <c r="G58" s="1"/>
      <c r="J58" s="1"/>
      <c r="N58" s="1"/>
      <c r="P58" s="6" t="b">
        <v>0</v>
      </c>
    </row>
    <row r="59" spans="4:16" x14ac:dyDescent="0.35">
      <c r="D59" s="1"/>
      <c r="E59" s="1"/>
      <c r="F59" s="1"/>
      <c r="G59" s="1"/>
      <c r="J59" s="1"/>
      <c r="N59" s="1"/>
      <c r="P59" s="6" t="b">
        <v>0</v>
      </c>
    </row>
    <row r="60" spans="4:16" x14ac:dyDescent="0.35">
      <c r="D60" s="1"/>
      <c r="E60" s="1"/>
      <c r="F60" s="1"/>
      <c r="G60" s="1"/>
      <c r="J60" s="1"/>
      <c r="N60" s="1"/>
      <c r="P60" s="6" t="b">
        <v>0</v>
      </c>
    </row>
    <row r="61" spans="4:16" x14ac:dyDescent="0.35">
      <c r="D61" s="1"/>
      <c r="E61" s="1"/>
      <c r="F61" s="1"/>
      <c r="G61" s="1"/>
      <c r="J61" s="1"/>
      <c r="N61" s="1"/>
      <c r="P61" s="6" t="b">
        <v>0</v>
      </c>
    </row>
    <row r="62" spans="4:16" x14ac:dyDescent="0.35">
      <c r="D62" s="1"/>
      <c r="E62" s="1"/>
      <c r="F62" s="1"/>
      <c r="G62" s="1"/>
      <c r="J62" s="1"/>
      <c r="N62" s="1"/>
      <c r="P62" s="6" t="b">
        <v>0</v>
      </c>
    </row>
    <row r="63" spans="4:16" x14ac:dyDescent="0.35">
      <c r="D63" s="1"/>
      <c r="E63" s="1"/>
      <c r="F63" s="1"/>
      <c r="G63" s="1"/>
      <c r="J63" s="1"/>
      <c r="N63" s="1"/>
      <c r="P63" s="6" t="b">
        <v>0</v>
      </c>
    </row>
    <row r="64" spans="4:16" x14ac:dyDescent="0.35">
      <c r="D64" s="1"/>
      <c r="E64" s="1"/>
      <c r="F64" s="1"/>
      <c r="G64" s="1"/>
      <c r="J64" s="1"/>
      <c r="N64" s="1"/>
      <c r="P64" s="6" t="b">
        <v>0</v>
      </c>
    </row>
    <row r="65" spans="4:16" x14ac:dyDescent="0.35">
      <c r="D65" s="1"/>
      <c r="E65" s="1"/>
      <c r="F65" s="1"/>
      <c r="G65" s="1"/>
      <c r="J65" s="1"/>
      <c r="N65" s="1"/>
      <c r="P65" s="6" t="b">
        <v>0</v>
      </c>
    </row>
    <row r="66" spans="4:16" x14ac:dyDescent="0.35">
      <c r="D66" s="1"/>
      <c r="E66" s="1"/>
      <c r="F66" s="1"/>
      <c r="G66" s="1"/>
      <c r="J66" s="1"/>
      <c r="N66" s="1"/>
      <c r="P66" s="6" t="b">
        <v>0</v>
      </c>
    </row>
    <row r="67" spans="4:16" x14ac:dyDescent="0.35">
      <c r="D67" s="1"/>
      <c r="E67" s="1"/>
      <c r="F67" s="1"/>
      <c r="G67" s="1"/>
      <c r="J67" s="1"/>
      <c r="N67" s="1"/>
      <c r="P67" s="6" t="b">
        <v>0</v>
      </c>
    </row>
    <row r="68" spans="4:16" x14ac:dyDescent="0.35">
      <c r="D68" s="1"/>
      <c r="E68" s="1"/>
      <c r="F68" s="1"/>
      <c r="G68" s="1"/>
      <c r="J68" s="1"/>
      <c r="N68" s="1"/>
      <c r="P68" s="6" t="b">
        <v>0</v>
      </c>
    </row>
    <row r="69" spans="4:16" x14ac:dyDescent="0.35">
      <c r="D69" s="1"/>
      <c r="E69" s="1"/>
      <c r="F69" s="1"/>
      <c r="G69" s="1"/>
      <c r="J69" s="1"/>
      <c r="N69" s="1"/>
      <c r="P69" s="6" t="b">
        <v>0</v>
      </c>
    </row>
    <row r="70" spans="4:16" x14ac:dyDescent="0.35">
      <c r="D70" s="1"/>
      <c r="E70" s="1"/>
      <c r="F70" s="1"/>
      <c r="G70" s="1"/>
      <c r="J70" s="1"/>
      <c r="N70" s="1"/>
      <c r="P70" s="6" t="b">
        <v>0</v>
      </c>
    </row>
    <row r="71" spans="4:16" x14ac:dyDescent="0.35">
      <c r="D71" s="1"/>
      <c r="E71" s="1"/>
      <c r="F71" s="1"/>
      <c r="G71" s="1"/>
      <c r="J71" s="1"/>
      <c r="N71" s="1"/>
      <c r="P71" s="6" t="b">
        <v>0</v>
      </c>
    </row>
    <row r="72" spans="4:16" x14ac:dyDescent="0.35">
      <c r="D72" s="1"/>
      <c r="E72" s="1"/>
      <c r="F72" s="1"/>
      <c r="G72" s="1"/>
      <c r="J72" s="1"/>
      <c r="N72" s="1"/>
      <c r="P72" s="6" t="b">
        <v>0</v>
      </c>
    </row>
    <row r="73" spans="4:16" x14ac:dyDescent="0.35">
      <c r="D73" s="1"/>
      <c r="E73" s="1"/>
      <c r="F73" s="1"/>
      <c r="G73" s="1"/>
      <c r="J73" s="1"/>
      <c r="N73" s="1"/>
      <c r="P73" s="6" t="b">
        <v>0</v>
      </c>
    </row>
    <row r="74" spans="4:16" x14ac:dyDescent="0.35">
      <c r="D74" s="1"/>
      <c r="E74" s="1"/>
      <c r="F74" s="1"/>
      <c r="G74" s="1"/>
      <c r="J74" s="1"/>
      <c r="N74" s="1"/>
      <c r="P74" s="6" t="b">
        <v>0</v>
      </c>
    </row>
    <row r="75" spans="4:16" x14ac:dyDescent="0.35">
      <c r="D75" s="1"/>
      <c r="E75" s="1"/>
      <c r="F75" s="1"/>
      <c r="G75" s="1"/>
      <c r="J75" s="1"/>
      <c r="N75" s="1"/>
      <c r="P75" s="6" t="b">
        <v>0</v>
      </c>
    </row>
    <row r="76" spans="4:16" x14ac:dyDescent="0.35">
      <c r="D76" s="1"/>
      <c r="E76" s="1"/>
      <c r="F76" s="1"/>
      <c r="G76" s="1"/>
      <c r="J76" s="1"/>
      <c r="N76" s="1"/>
      <c r="P76" s="6" t="b">
        <v>0</v>
      </c>
    </row>
    <row r="77" spans="4:16" x14ac:dyDescent="0.35">
      <c r="D77" s="1"/>
      <c r="E77" s="1"/>
      <c r="F77" s="1"/>
      <c r="G77" s="1"/>
      <c r="J77" s="1"/>
      <c r="N77" s="1"/>
      <c r="P77" s="6" t="b">
        <v>0</v>
      </c>
    </row>
    <row r="78" spans="4:16" x14ac:dyDescent="0.35">
      <c r="D78" s="1"/>
      <c r="E78" s="1"/>
      <c r="F78" s="1"/>
      <c r="G78" s="1"/>
      <c r="J78" s="1"/>
      <c r="N78" s="1"/>
      <c r="P78" s="6" t="b">
        <v>0</v>
      </c>
    </row>
    <row r="79" spans="4:16" x14ac:dyDescent="0.35">
      <c r="D79" s="1"/>
      <c r="E79" s="1"/>
      <c r="F79" s="1"/>
      <c r="G79" s="1"/>
      <c r="J79" s="1"/>
      <c r="N79" s="1"/>
      <c r="P79" s="6" t="b">
        <v>0</v>
      </c>
    </row>
    <row r="80" spans="4:16" x14ac:dyDescent="0.35">
      <c r="D80" s="1"/>
      <c r="E80" s="1"/>
      <c r="F80" s="1"/>
      <c r="G80" s="1"/>
      <c r="J80" s="1"/>
      <c r="N80" s="1"/>
      <c r="P80" s="6" t="b">
        <v>0</v>
      </c>
    </row>
    <row r="81" spans="4:16" x14ac:dyDescent="0.35">
      <c r="D81" s="1"/>
      <c r="E81" s="1"/>
      <c r="F81" s="1"/>
      <c r="G81" s="1"/>
      <c r="J81" s="1"/>
      <c r="N81" s="1"/>
      <c r="P81" s="6" t="b">
        <v>0</v>
      </c>
    </row>
    <row r="82" spans="4:16" x14ac:dyDescent="0.35">
      <c r="D82" s="1"/>
      <c r="E82" s="1"/>
      <c r="F82" s="1"/>
      <c r="G82" s="1"/>
      <c r="J82" s="1"/>
      <c r="N82" s="1"/>
      <c r="P82" s="6" t="b">
        <v>0</v>
      </c>
    </row>
    <row r="83" spans="4:16" x14ac:dyDescent="0.35">
      <c r="D83" s="1"/>
      <c r="E83" s="1"/>
      <c r="F83" s="1"/>
      <c r="G83" s="1"/>
      <c r="J83" s="1"/>
      <c r="N83" s="1"/>
      <c r="P83" s="6" t="b">
        <v>0</v>
      </c>
    </row>
    <row r="84" spans="4:16" x14ac:dyDescent="0.35">
      <c r="D84" s="1"/>
      <c r="E84" s="1"/>
      <c r="F84" s="1"/>
      <c r="G84" s="1"/>
      <c r="J84" s="1"/>
      <c r="N84" s="1"/>
      <c r="P84" s="6" t="b">
        <v>0</v>
      </c>
    </row>
    <row r="85" spans="4:16" x14ac:dyDescent="0.35">
      <c r="D85" s="1"/>
      <c r="E85" s="1"/>
      <c r="F85" s="1"/>
      <c r="G85" s="1"/>
      <c r="J85" s="1"/>
      <c r="N85" s="1"/>
      <c r="P85" s="6" t="b">
        <v>0</v>
      </c>
    </row>
    <row r="86" spans="4:16" x14ac:dyDescent="0.35">
      <c r="D86" s="1"/>
      <c r="E86" s="1"/>
      <c r="F86" s="1"/>
      <c r="G86" s="1"/>
      <c r="J86" s="1"/>
      <c r="N86" s="1"/>
      <c r="P86" s="6" t="b">
        <v>0</v>
      </c>
    </row>
    <row r="87" spans="4:16" x14ac:dyDescent="0.35">
      <c r="D87" s="1"/>
      <c r="E87" s="1"/>
      <c r="F87" s="1"/>
      <c r="G87" s="1"/>
      <c r="J87" s="1"/>
      <c r="N87" s="1"/>
      <c r="P87" s="6" t="b">
        <v>0</v>
      </c>
    </row>
    <row r="88" spans="4:16" x14ac:dyDescent="0.35">
      <c r="D88" s="1"/>
      <c r="E88" s="1"/>
      <c r="F88" s="1"/>
      <c r="G88" s="1"/>
      <c r="J88" s="1"/>
      <c r="N88" s="1"/>
      <c r="P88" s="6" t="b">
        <v>0</v>
      </c>
    </row>
    <row r="89" spans="4:16" x14ac:dyDescent="0.35">
      <c r="D89" s="1"/>
      <c r="E89" s="1"/>
      <c r="F89" s="1"/>
      <c r="G89" s="1"/>
      <c r="J89" s="1"/>
      <c r="N89" s="1"/>
      <c r="P89" s="6" t="b">
        <v>0</v>
      </c>
    </row>
    <row r="90" spans="4:16" x14ac:dyDescent="0.35">
      <c r="D90" s="1"/>
      <c r="E90" s="1"/>
      <c r="F90" s="1"/>
      <c r="G90" s="1"/>
      <c r="J90" s="1"/>
      <c r="N90" s="1"/>
      <c r="P90" s="6" t="b">
        <v>0</v>
      </c>
    </row>
    <row r="91" spans="4:16" x14ac:dyDescent="0.35">
      <c r="E91" s="1"/>
      <c r="G91" s="1"/>
      <c r="J91" s="1"/>
      <c r="N91" s="1"/>
      <c r="P91" s="6" t="b">
        <v>0</v>
      </c>
    </row>
    <row r="92" spans="4:16" x14ac:dyDescent="0.35">
      <c r="E92" s="1"/>
      <c r="G92" s="1"/>
      <c r="J92" s="1"/>
      <c r="N92" s="1"/>
      <c r="P92" s="6" t="b">
        <v>0</v>
      </c>
    </row>
    <row r="93" spans="4:16" x14ac:dyDescent="0.35">
      <c r="E93" s="1"/>
      <c r="G93" s="1"/>
      <c r="J93" s="1"/>
      <c r="N93" s="1"/>
      <c r="P93" s="6" t="b">
        <v>0</v>
      </c>
    </row>
    <row r="94" spans="4:16" x14ac:dyDescent="0.35">
      <c r="E94" s="1"/>
      <c r="G94" s="1"/>
      <c r="J94" s="1"/>
      <c r="N94" s="1"/>
      <c r="P94" s="6" t="b">
        <v>0</v>
      </c>
    </row>
    <row r="95" spans="4:16" x14ac:dyDescent="0.35">
      <c r="E95" s="1"/>
      <c r="G95" s="1"/>
      <c r="J95" s="1"/>
      <c r="N95" s="1"/>
      <c r="P95" s="6" t="b">
        <v>0</v>
      </c>
    </row>
    <row r="96" spans="4:16" x14ac:dyDescent="0.35">
      <c r="G96" s="1"/>
      <c r="J96" s="1"/>
      <c r="N96" s="1"/>
      <c r="P96" s="6" t="b">
        <v>0</v>
      </c>
    </row>
    <row r="97" spans="7:16" x14ac:dyDescent="0.35">
      <c r="G97" s="1"/>
      <c r="J97" s="1"/>
      <c r="N97" s="1"/>
      <c r="P97" s="6" t="b">
        <v>0</v>
      </c>
    </row>
    <row r="98" spans="7:16" x14ac:dyDescent="0.35">
      <c r="G98" s="1"/>
      <c r="J98" s="1"/>
      <c r="N98" s="1"/>
      <c r="P98" s="6" t="b">
        <v>0</v>
      </c>
    </row>
    <row r="99" spans="7:16" x14ac:dyDescent="0.35">
      <c r="G99" s="1"/>
      <c r="J99" s="1"/>
      <c r="N99" s="1"/>
      <c r="P99" s="6" t="b">
        <v>0</v>
      </c>
    </row>
    <row r="100" spans="7:16" x14ac:dyDescent="0.35">
      <c r="G100" s="1"/>
      <c r="J100" s="1"/>
      <c r="N100" s="1"/>
      <c r="P100" s="6" t="b">
        <v>0</v>
      </c>
    </row>
    <row r="101" spans="7:16" x14ac:dyDescent="0.35">
      <c r="G101" s="1"/>
      <c r="J101" s="1"/>
      <c r="N101" s="1"/>
      <c r="P101" s="6" t="b">
        <v>0</v>
      </c>
    </row>
    <row r="102" spans="7:16" customFormat="1" x14ac:dyDescent="0.35">
      <c r="G102" s="9"/>
      <c r="N102" s="9"/>
    </row>
    <row r="103" spans="7:16" customFormat="1" x14ac:dyDescent="0.35">
      <c r="G103" s="9"/>
      <c r="N103" s="9"/>
    </row>
    <row r="104" spans="7:16" customFormat="1" x14ac:dyDescent="0.35">
      <c r="G104" s="9"/>
      <c r="N104" s="9"/>
    </row>
    <row r="105" spans="7:16" customFormat="1" x14ac:dyDescent="0.35">
      <c r="G105" s="9"/>
      <c r="N105" s="9"/>
    </row>
    <row r="106" spans="7:16" customFormat="1" x14ac:dyDescent="0.35">
      <c r="G106" s="9"/>
      <c r="N106" s="9"/>
    </row>
    <row r="107" spans="7:16" customFormat="1" x14ac:dyDescent="0.35">
      <c r="G107" s="9"/>
      <c r="N107" s="9"/>
    </row>
    <row r="108" spans="7:16" customFormat="1" x14ac:dyDescent="0.35">
      <c r="G108" s="9"/>
      <c r="N108" s="9"/>
    </row>
    <row r="109" spans="7:16" customFormat="1" x14ac:dyDescent="0.35">
      <c r="G109" s="9"/>
      <c r="N109" s="9"/>
    </row>
    <row r="110" spans="7:16" customFormat="1" x14ac:dyDescent="0.35">
      <c r="G110" s="9"/>
      <c r="N110" s="9"/>
    </row>
    <row r="111" spans="7:16" customFormat="1" x14ac:dyDescent="0.35">
      <c r="G111" s="9"/>
      <c r="N111" s="9"/>
    </row>
    <row r="112" spans="7:16" customFormat="1" x14ac:dyDescent="0.35">
      <c r="G112" s="9"/>
      <c r="N112" s="9"/>
    </row>
    <row r="113" spans="7:14" customFormat="1" x14ac:dyDescent="0.35">
      <c r="G113" s="9"/>
      <c r="N113" s="9"/>
    </row>
    <row r="114" spans="7:14" customFormat="1" x14ac:dyDescent="0.35">
      <c r="G114" s="9"/>
      <c r="N114" s="9"/>
    </row>
    <row r="115" spans="7:14" customFormat="1" x14ac:dyDescent="0.35">
      <c r="G115" s="9"/>
      <c r="N115" s="9"/>
    </row>
    <row r="116" spans="7:14" customFormat="1" x14ac:dyDescent="0.35">
      <c r="G116" s="9"/>
      <c r="N116" s="9"/>
    </row>
    <row r="117" spans="7:14" customFormat="1" x14ac:dyDescent="0.35">
      <c r="G117" s="9"/>
      <c r="N117" s="9"/>
    </row>
    <row r="118" spans="7:14" customFormat="1" x14ac:dyDescent="0.35">
      <c r="G118" s="9"/>
      <c r="N118" s="9"/>
    </row>
    <row r="119" spans="7:14" customFormat="1" x14ac:dyDescent="0.35">
      <c r="G119" s="9"/>
      <c r="N119" s="9"/>
    </row>
    <row r="120" spans="7:14" customFormat="1" x14ac:dyDescent="0.35">
      <c r="G120" s="9"/>
      <c r="N120" s="9"/>
    </row>
    <row r="121" spans="7:14" customFormat="1" x14ac:dyDescent="0.35">
      <c r="G121" s="9"/>
      <c r="N121" s="9"/>
    </row>
    <row r="122" spans="7:14" customFormat="1" x14ac:dyDescent="0.35">
      <c r="G122" s="9"/>
      <c r="N122" s="9"/>
    </row>
    <row r="123" spans="7:14" customFormat="1" x14ac:dyDescent="0.35">
      <c r="G123" s="9"/>
      <c r="N123" s="9"/>
    </row>
    <row r="124" spans="7:14" customFormat="1" x14ac:dyDescent="0.35">
      <c r="G124" s="9"/>
      <c r="N124" s="9"/>
    </row>
    <row r="125" spans="7:14" customFormat="1" x14ac:dyDescent="0.35">
      <c r="G125" s="9"/>
      <c r="N125" s="9"/>
    </row>
    <row r="126" spans="7:14" customFormat="1" x14ac:dyDescent="0.35">
      <c r="G126" s="9"/>
      <c r="N126" s="9"/>
    </row>
    <row r="127" spans="7:14" customFormat="1" x14ac:dyDescent="0.35">
      <c r="G127" s="9"/>
      <c r="N127" s="9"/>
    </row>
    <row r="128" spans="7:14" customFormat="1" x14ac:dyDescent="0.35">
      <c r="G128" s="9"/>
      <c r="N128" s="9"/>
    </row>
    <row r="129" spans="7:14" customFormat="1" x14ac:dyDescent="0.35">
      <c r="G129" s="9"/>
      <c r="N129" s="9"/>
    </row>
    <row r="130" spans="7:14" customFormat="1" x14ac:dyDescent="0.35">
      <c r="G130" s="9"/>
      <c r="N130" s="9"/>
    </row>
    <row r="131" spans="7:14" customFormat="1" x14ac:dyDescent="0.35">
      <c r="G131" s="9"/>
      <c r="N131" s="9"/>
    </row>
    <row r="132" spans="7:14" customFormat="1" x14ac:dyDescent="0.35">
      <c r="G132" s="9"/>
      <c r="N132" s="9"/>
    </row>
    <row r="133" spans="7:14" customFormat="1" x14ac:dyDescent="0.35">
      <c r="G133" s="9"/>
      <c r="N133" s="9"/>
    </row>
    <row r="134" spans="7:14" customFormat="1" x14ac:dyDescent="0.35">
      <c r="G134" s="9"/>
      <c r="N134" s="9"/>
    </row>
    <row r="135" spans="7:14" customFormat="1" x14ac:dyDescent="0.35">
      <c r="G135" s="9"/>
      <c r="N135" s="9"/>
    </row>
    <row r="136" spans="7:14" customFormat="1" x14ac:dyDescent="0.35">
      <c r="G136" s="9"/>
      <c r="N136" s="9"/>
    </row>
    <row r="137" spans="7:14" customFormat="1" x14ac:dyDescent="0.35">
      <c r="G137" s="9"/>
      <c r="N137" s="9"/>
    </row>
    <row r="138" spans="7:14" customFormat="1" x14ac:dyDescent="0.35">
      <c r="G138" s="9"/>
      <c r="N138" s="9"/>
    </row>
    <row r="139" spans="7:14" customFormat="1" x14ac:dyDescent="0.35">
      <c r="G139" s="9"/>
      <c r="N139" s="9"/>
    </row>
    <row r="140" spans="7:14" customFormat="1" x14ac:dyDescent="0.35">
      <c r="G140" s="9"/>
      <c r="N140" s="9"/>
    </row>
    <row r="141" spans="7:14" customFormat="1" x14ac:dyDescent="0.35">
      <c r="G141" s="9"/>
      <c r="N141" s="9"/>
    </row>
    <row r="142" spans="7:14" customFormat="1" x14ac:dyDescent="0.35">
      <c r="G142" s="9"/>
      <c r="N142" s="9"/>
    </row>
    <row r="143" spans="7:14" customFormat="1" x14ac:dyDescent="0.35">
      <c r="G143" s="9"/>
      <c r="N143" s="9"/>
    </row>
    <row r="144" spans="7:14" customFormat="1" x14ac:dyDescent="0.35">
      <c r="G144" s="9"/>
      <c r="N144" s="9"/>
    </row>
    <row r="145" spans="7:14" customFormat="1" x14ac:dyDescent="0.35">
      <c r="G145" s="9"/>
      <c r="N145" s="9"/>
    </row>
    <row r="146" spans="7:14" customFormat="1" x14ac:dyDescent="0.35">
      <c r="G146" s="9"/>
      <c r="N146" s="9"/>
    </row>
    <row r="147" spans="7:14" customFormat="1" x14ac:dyDescent="0.35">
      <c r="G147" s="9"/>
      <c r="N147" s="9"/>
    </row>
    <row r="148" spans="7:14" customFormat="1" x14ac:dyDescent="0.35">
      <c r="G148" s="9"/>
      <c r="N148" s="9"/>
    </row>
    <row r="149" spans="7:14" customFormat="1" x14ac:dyDescent="0.35">
      <c r="G149" s="9"/>
      <c r="N149" s="9"/>
    </row>
    <row r="150" spans="7:14" customFormat="1" x14ac:dyDescent="0.35">
      <c r="G150" s="9"/>
      <c r="N150" s="9"/>
    </row>
    <row r="151" spans="7:14" customFormat="1" x14ac:dyDescent="0.35">
      <c r="G151" s="9"/>
      <c r="N151" s="9"/>
    </row>
    <row r="152" spans="7:14" customFormat="1" x14ac:dyDescent="0.35">
      <c r="G152" s="9"/>
      <c r="N152" s="9"/>
    </row>
    <row r="153" spans="7:14" customFormat="1" x14ac:dyDescent="0.35">
      <c r="G153" s="9"/>
      <c r="N153" s="9"/>
    </row>
    <row r="154" spans="7:14" customFormat="1" x14ac:dyDescent="0.35">
      <c r="G154" s="9"/>
      <c r="N154" s="9"/>
    </row>
    <row r="155" spans="7:14" customFormat="1" x14ac:dyDescent="0.35">
      <c r="G155" s="9"/>
      <c r="N155" s="9"/>
    </row>
    <row r="156" spans="7:14" customFormat="1" x14ac:dyDescent="0.35">
      <c r="G156" s="9"/>
      <c r="N156" s="9"/>
    </row>
    <row r="157" spans="7:14" customFormat="1" x14ac:dyDescent="0.35">
      <c r="G157" s="9"/>
      <c r="N157" s="9"/>
    </row>
    <row r="158" spans="7:14" customFormat="1" x14ac:dyDescent="0.35">
      <c r="G158" s="9"/>
      <c r="N158" s="9"/>
    </row>
    <row r="159" spans="7:14" customFormat="1" x14ac:dyDescent="0.35">
      <c r="G159" s="9"/>
      <c r="N159" s="9"/>
    </row>
    <row r="160" spans="7:14" customFormat="1" x14ac:dyDescent="0.35">
      <c r="G160" s="9"/>
      <c r="N160" s="9"/>
    </row>
    <row r="161" spans="7:14" customFormat="1" x14ac:dyDescent="0.35">
      <c r="G161" s="9"/>
      <c r="N161" s="9"/>
    </row>
    <row r="162" spans="7:14" customFormat="1" x14ac:dyDescent="0.35">
      <c r="G162" s="9"/>
      <c r="N162" s="9"/>
    </row>
    <row r="163" spans="7:14" customFormat="1" x14ac:dyDescent="0.35">
      <c r="G163" s="9"/>
      <c r="N163" s="9"/>
    </row>
    <row r="164" spans="7:14" customFormat="1" x14ac:dyDescent="0.35">
      <c r="G164" s="9"/>
      <c r="N164" s="9"/>
    </row>
    <row r="165" spans="7:14" customFormat="1" x14ac:dyDescent="0.35">
      <c r="G165" s="9"/>
      <c r="N165" s="9"/>
    </row>
    <row r="166" spans="7:14" customFormat="1" x14ac:dyDescent="0.35">
      <c r="G166" s="9"/>
      <c r="N166" s="9"/>
    </row>
    <row r="167" spans="7:14" customFormat="1" x14ac:dyDescent="0.35">
      <c r="G167" s="9"/>
      <c r="N167" s="9"/>
    </row>
    <row r="168" spans="7:14" customFormat="1" x14ac:dyDescent="0.35">
      <c r="G168" s="9"/>
      <c r="N168" s="9"/>
    </row>
    <row r="169" spans="7:14" customFormat="1" x14ac:dyDescent="0.35">
      <c r="G169" s="9"/>
      <c r="N169" s="9"/>
    </row>
    <row r="170" spans="7:14" customFormat="1" x14ac:dyDescent="0.35">
      <c r="G170" s="9"/>
      <c r="N170" s="9"/>
    </row>
    <row r="171" spans="7:14" customFormat="1" x14ac:dyDescent="0.35">
      <c r="G171" s="9"/>
      <c r="N171" s="9"/>
    </row>
    <row r="172" spans="7:14" customFormat="1" x14ac:dyDescent="0.35">
      <c r="G172" s="9"/>
      <c r="N172" s="9"/>
    </row>
    <row r="173" spans="7:14" customFormat="1" x14ac:dyDescent="0.35">
      <c r="G173" s="9"/>
      <c r="N173" s="9"/>
    </row>
    <row r="174" spans="7:14" customFormat="1" x14ac:dyDescent="0.35">
      <c r="G174" s="9"/>
      <c r="N174" s="9"/>
    </row>
    <row r="175" spans="7:14" customFormat="1" x14ac:dyDescent="0.35">
      <c r="G175" s="9"/>
      <c r="N175" s="9"/>
    </row>
    <row r="176" spans="7:14" customFormat="1" x14ac:dyDescent="0.35">
      <c r="G176" s="9"/>
      <c r="N176" s="9"/>
    </row>
    <row r="177" spans="7:14" customFormat="1" x14ac:dyDescent="0.35">
      <c r="G177" s="9"/>
      <c r="N177" s="9"/>
    </row>
    <row r="178" spans="7:14" customFormat="1" x14ac:dyDescent="0.35">
      <c r="G178" s="9"/>
      <c r="N178" s="9"/>
    </row>
    <row r="179" spans="7:14" customFormat="1" x14ac:dyDescent="0.35">
      <c r="G179" s="9"/>
      <c r="N179" s="9"/>
    </row>
    <row r="180" spans="7:14" customFormat="1" x14ac:dyDescent="0.35">
      <c r="G180" s="9"/>
      <c r="N180" s="9"/>
    </row>
    <row r="181" spans="7:14" customFormat="1" x14ac:dyDescent="0.35">
      <c r="G181" s="9"/>
      <c r="N181" s="9"/>
    </row>
    <row r="182" spans="7:14" customFormat="1" x14ac:dyDescent="0.35">
      <c r="G182" s="9"/>
      <c r="N182" s="9"/>
    </row>
    <row r="183" spans="7:14" customFormat="1" x14ac:dyDescent="0.35">
      <c r="G183" s="9"/>
      <c r="N183" s="9"/>
    </row>
    <row r="184" spans="7:14" customFormat="1" x14ac:dyDescent="0.35">
      <c r="G184" s="9"/>
      <c r="N184" s="9"/>
    </row>
    <row r="185" spans="7:14" customFormat="1" x14ac:dyDescent="0.35">
      <c r="G185" s="9"/>
      <c r="N185" s="9"/>
    </row>
    <row r="186" spans="7:14" customFormat="1" x14ac:dyDescent="0.35">
      <c r="G186" s="9"/>
      <c r="N186" s="9"/>
    </row>
    <row r="187" spans="7:14" customFormat="1" x14ac:dyDescent="0.35">
      <c r="G187" s="9"/>
      <c r="N187" s="9"/>
    </row>
    <row r="188" spans="7:14" customFormat="1" x14ac:dyDescent="0.35">
      <c r="G188" s="9"/>
      <c r="N188" s="9"/>
    </row>
    <row r="189" spans="7:14" customFormat="1" x14ac:dyDescent="0.35">
      <c r="G189" s="9"/>
      <c r="N189" s="9"/>
    </row>
    <row r="190" spans="7:14" customFormat="1" x14ac:dyDescent="0.35">
      <c r="G190" s="9"/>
      <c r="N190" s="9"/>
    </row>
    <row r="191" spans="7:14" customFormat="1" x14ac:dyDescent="0.35">
      <c r="G191" s="9"/>
      <c r="N191" s="9"/>
    </row>
    <row r="192" spans="7:14" customFormat="1" x14ac:dyDescent="0.35">
      <c r="G192" s="9"/>
      <c r="N192" s="9"/>
    </row>
    <row r="193" spans="7:14" customFormat="1" x14ac:dyDescent="0.35">
      <c r="G193" s="9"/>
      <c r="N193" s="9"/>
    </row>
    <row r="194" spans="7:14" customFormat="1" x14ac:dyDescent="0.35">
      <c r="G194" s="9"/>
      <c r="N194" s="9"/>
    </row>
    <row r="195" spans="7:14" customFormat="1" x14ac:dyDescent="0.35">
      <c r="G195" s="9"/>
      <c r="N195" s="9"/>
    </row>
    <row r="196" spans="7:14" customFormat="1" x14ac:dyDescent="0.35">
      <c r="G196" s="9"/>
      <c r="N196" s="9"/>
    </row>
    <row r="197" spans="7:14" customFormat="1" x14ac:dyDescent="0.35">
      <c r="G197" s="9"/>
      <c r="N197" s="9"/>
    </row>
    <row r="198" spans="7:14" customFormat="1" x14ac:dyDescent="0.35">
      <c r="G198" s="9"/>
      <c r="N198" s="9"/>
    </row>
    <row r="199" spans="7:14" customFormat="1" x14ac:dyDescent="0.35">
      <c r="G199" s="9"/>
      <c r="N199" s="9"/>
    </row>
    <row r="200" spans="7:14" customFormat="1" x14ac:dyDescent="0.35">
      <c r="G200" s="9"/>
      <c r="N200" s="9"/>
    </row>
    <row r="201" spans="7:14" customFormat="1" x14ac:dyDescent="0.35">
      <c r="G201" s="9"/>
      <c r="N201" s="9"/>
    </row>
    <row r="202" spans="7:14" customFormat="1" x14ac:dyDescent="0.35">
      <c r="G202" s="9"/>
      <c r="N202" s="9"/>
    </row>
    <row r="203" spans="7:14" customFormat="1" x14ac:dyDescent="0.35">
      <c r="G203" s="9"/>
      <c r="N203" s="9"/>
    </row>
    <row r="204" spans="7:14" customFormat="1" x14ac:dyDescent="0.35">
      <c r="G204" s="9"/>
      <c r="N204" s="9"/>
    </row>
    <row r="205" spans="7:14" customFormat="1" x14ac:dyDescent="0.35">
      <c r="G205" s="9"/>
      <c r="N205" s="9"/>
    </row>
    <row r="206" spans="7:14" customFormat="1" x14ac:dyDescent="0.35">
      <c r="G206" s="9"/>
      <c r="N206" s="9"/>
    </row>
    <row r="207" spans="7:14" customFormat="1" x14ac:dyDescent="0.35">
      <c r="G207" s="9"/>
      <c r="N207" s="9"/>
    </row>
    <row r="208" spans="7:14" customFormat="1" x14ac:dyDescent="0.35">
      <c r="G208" s="9"/>
      <c r="N208" s="9"/>
    </row>
    <row r="209" spans="7:14" customFormat="1" x14ac:dyDescent="0.35">
      <c r="G209" s="9"/>
      <c r="N209" s="9"/>
    </row>
    <row r="210" spans="7:14" customFormat="1" x14ac:dyDescent="0.35">
      <c r="G210" s="9"/>
      <c r="N210" s="9"/>
    </row>
    <row r="211" spans="7:14" customFormat="1" x14ac:dyDescent="0.35">
      <c r="G211" s="9"/>
      <c r="N211" s="9"/>
    </row>
    <row r="212" spans="7:14" customFormat="1" x14ac:dyDescent="0.35">
      <c r="G212" s="9"/>
      <c r="N212" s="9"/>
    </row>
    <row r="213" spans="7:14" customFormat="1" x14ac:dyDescent="0.35">
      <c r="G213" s="9"/>
      <c r="N213" s="9"/>
    </row>
    <row r="214" spans="7:14" customFormat="1" x14ac:dyDescent="0.35">
      <c r="G214" s="9"/>
      <c r="N214" s="9"/>
    </row>
    <row r="215" spans="7:14" customFormat="1" x14ac:dyDescent="0.35">
      <c r="G215" s="9"/>
      <c r="N215" s="9"/>
    </row>
    <row r="216" spans="7:14" customFormat="1" x14ac:dyDescent="0.35">
      <c r="G216" s="9"/>
      <c r="N216" s="9"/>
    </row>
    <row r="217" spans="7:14" customFormat="1" x14ac:dyDescent="0.35">
      <c r="G217" s="9"/>
      <c r="N217" s="9"/>
    </row>
    <row r="218" spans="7:14" customFormat="1" x14ac:dyDescent="0.35">
      <c r="G218" s="9"/>
      <c r="N218" s="9"/>
    </row>
    <row r="219" spans="7:14" customFormat="1" x14ac:dyDescent="0.35">
      <c r="G219" s="9"/>
      <c r="N219" s="9"/>
    </row>
    <row r="220" spans="7:14" customFormat="1" x14ac:dyDescent="0.35">
      <c r="G220" s="9"/>
      <c r="N220" s="9"/>
    </row>
    <row r="221" spans="7:14" customFormat="1" x14ac:dyDescent="0.35">
      <c r="G221" s="9"/>
      <c r="N221" s="9"/>
    </row>
    <row r="222" spans="7:14" customFormat="1" x14ac:dyDescent="0.35">
      <c r="G222" s="9"/>
      <c r="N222" s="9"/>
    </row>
    <row r="223" spans="7:14" customFormat="1" x14ac:dyDescent="0.35">
      <c r="G223" s="9"/>
      <c r="N223" s="9"/>
    </row>
    <row r="224" spans="7:14" customFormat="1" x14ac:dyDescent="0.35">
      <c r="G224" s="9"/>
      <c r="N224" s="9"/>
    </row>
    <row r="225" spans="7:14" customFormat="1" x14ac:dyDescent="0.35">
      <c r="G225" s="9"/>
      <c r="N225" s="9"/>
    </row>
    <row r="226" spans="7:14" customFormat="1" x14ac:dyDescent="0.35">
      <c r="G226" s="9"/>
      <c r="N226" s="9"/>
    </row>
    <row r="227" spans="7:14" customFormat="1" x14ac:dyDescent="0.35">
      <c r="G227" s="9"/>
      <c r="N227" s="9"/>
    </row>
    <row r="228" spans="7:14" customFormat="1" x14ac:dyDescent="0.35">
      <c r="G228" s="9"/>
      <c r="N228" s="9"/>
    </row>
    <row r="229" spans="7:14" customFormat="1" x14ac:dyDescent="0.35">
      <c r="G229" s="9"/>
      <c r="N229" s="9"/>
    </row>
    <row r="230" spans="7:14" customFormat="1" x14ac:dyDescent="0.35">
      <c r="G230" s="9"/>
      <c r="N230" s="9"/>
    </row>
    <row r="231" spans="7:14" customFormat="1" x14ac:dyDescent="0.35">
      <c r="G231" s="9"/>
      <c r="N231" s="9"/>
    </row>
    <row r="232" spans="7:14" customFormat="1" x14ac:dyDescent="0.35">
      <c r="G232" s="9"/>
      <c r="N232" s="9"/>
    </row>
    <row r="233" spans="7:14" customFormat="1" x14ac:dyDescent="0.35">
      <c r="G233" s="9"/>
      <c r="N233" s="9"/>
    </row>
    <row r="234" spans="7:14" customFormat="1" x14ac:dyDescent="0.35">
      <c r="G234" s="9"/>
      <c r="N234" s="9"/>
    </row>
    <row r="235" spans="7:14" customFormat="1" x14ac:dyDescent="0.35">
      <c r="G235" s="9"/>
      <c r="N235" s="9"/>
    </row>
    <row r="236" spans="7:14" customFormat="1" x14ac:dyDescent="0.35">
      <c r="G236" s="9"/>
      <c r="N236" s="9"/>
    </row>
    <row r="237" spans="7:14" customFormat="1" x14ac:dyDescent="0.35">
      <c r="G237" s="9"/>
      <c r="N237" s="9"/>
    </row>
    <row r="238" spans="7:14" customFormat="1" x14ac:dyDescent="0.35">
      <c r="G238" s="9"/>
      <c r="N238" s="9"/>
    </row>
    <row r="239" spans="7:14" customFormat="1" x14ac:dyDescent="0.35">
      <c r="G239" s="9"/>
      <c r="N239" s="9"/>
    </row>
    <row r="240" spans="7:14" customFormat="1" x14ac:dyDescent="0.35">
      <c r="G240" s="9"/>
      <c r="N240" s="9"/>
    </row>
    <row r="241" spans="7:14" customFormat="1" x14ac:dyDescent="0.35">
      <c r="G241" s="9"/>
      <c r="N241" s="9"/>
    </row>
    <row r="242" spans="7:14" customFormat="1" x14ac:dyDescent="0.35">
      <c r="G242" s="9"/>
      <c r="N242" s="9"/>
    </row>
    <row r="243" spans="7:14" customFormat="1" x14ac:dyDescent="0.35">
      <c r="G243" s="9"/>
      <c r="N243" s="9"/>
    </row>
    <row r="244" spans="7:14" customFormat="1" x14ac:dyDescent="0.35">
      <c r="G244" s="9"/>
      <c r="N244" s="9"/>
    </row>
    <row r="245" spans="7:14" customFormat="1" x14ac:dyDescent="0.35">
      <c r="G245" s="9"/>
      <c r="N245" s="9"/>
    </row>
    <row r="246" spans="7:14" customFormat="1" x14ac:dyDescent="0.35">
      <c r="G246" s="9"/>
      <c r="N246" s="9"/>
    </row>
    <row r="247" spans="7:14" customFormat="1" x14ac:dyDescent="0.35">
      <c r="G247" s="9"/>
      <c r="N247" s="9"/>
    </row>
    <row r="248" spans="7:14" customFormat="1" x14ac:dyDescent="0.35">
      <c r="G248" s="9"/>
      <c r="N248" s="9"/>
    </row>
    <row r="249" spans="7:14" customFormat="1" x14ac:dyDescent="0.35">
      <c r="G249" s="9"/>
      <c r="N249" s="9"/>
    </row>
    <row r="250" spans="7:14" customFormat="1" x14ac:dyDescent="0.35">
      <c r="G250" s="9"/>
      <c r="N250" s="9"/>
    </row>
    <row r="251" spans="7:14" customFormat="1" x14ac:dyDescent="0.35">
      <c r="G251" s="9"/>
      <c r="N251" s="9"/>
    </row>
    <row r="252" spans="7:14" customFormat="1" x14ac:dyDescent="0.35">
      <c r="G252" s="9"/>
      <c r="N252" s="9"/>
    </row>
    <row r="253" spans="7:14" customFormat="1" x14ac:dyDescent="0.35">
      <c r="G253" s="9"/>
      <c r="N253" s="9"/>
    </row>
    <row r="254" spans="7:14" customFormat="1" x14ac:dyDescent="0.35">
      <c r="G254" s="9"/>
      <c r="N254" s="9"/>
    </row>
    <row r="255" spans="7:14" customFormat="1" x14ac:dyDescent="0.35">
      <c r="G255" s="9"/>
      <c r="N255" s="9"/>
    </row>
    <row r="256" spans="7:14" customFormat="1" x14ac:dyDescent="0.35">
      <c r="G256" s="9"/>
      <c r="N256" s="9"/>
    </row>
    <row r="257" spans="7:14" customFormat="1" x14ac:dyDescent="0.35">
      <c r="G257" s="9"/>
      <c r="N257" s="9"/>
    </row>
    <row r="258" spans="7:14" customFormat="1" x14ac:dyDescent="0.35">
      <c r="G258" s="9"/>
      <c r="N258" s="9"/>
    </row>
    <row r="259" spans="7:14" customFormat="1" x14ac:dyDescent="0.35">
      <c r="G259" s="9"/>
      <c r="N259" s="9"/>
    </row>
    <row r="260" spans="7:14" customFormat="1" x14ac:dyDescent="0.35">
      <c r="G260" s="9"/>
      <c r="N260" s="9"/>
    </row>
    <row r="261" spans="7:14" customFormat="1" x14ac:dyDescent="0.35">
      <c r="G261" s="9"/>
      <c r="N261" s="9"/>
    </row>
    <row r="262" spans="7:14" customFormat="1" x14ac:dyDescent="0.35">
      <c r="G262" s="9"/>
      <c r="N262" s="9"/>
    </row>
    <row r="263" spans="7:14" customFormat="1" x14ac:dyDescent="0.35">
      <c r="G263" s="9"/>
      <c r="N263" s="9"/>
    </row>
    <row r="264" spans="7:14" customFormat="1" x14ac:dyDescent="0.35">
      <c r="G264" s="9"/>
      <c r="N264" s="9"/>
    </row>
    <row r="265" spans="7:14" customFormat="1" x14ac:dyDescent="0.35">
      <c r="G265" s="9"/>
      <c r="N265" s="9"/>
    </row>
    <row r="266" spans="7:14" customFormat="1" x14ac:dyDescent="0.35">
      <c r="G266" s="9"/>
      <c r="N266" s="9"/>
    </row>
    <row r="267" spans="7:14" customFormat="1" x14ac:dyDescent="0.35">
      <c r="G267" s="9"/>
      <c r="N267" s="9"/>
    </row>
    <row r="268" spans="7:14" customFormat="1" x14ac:dyDescent="0.35">
      <c r="G268" s="9"/>
      <c r="N268" s="9"/>
    </row>
    <row r="269" spans="7:14" customFormat="1" x14ac:dyDescent="0.35">
      <c r="G269" s="9"/>
      <c r="N269" s="9"/>
    </row>
    <row r="270" spans="7:14" customFormat="1" x14ac:dyDescent="0.35">
      <c r="G270" s="9"/>
      <c r="N270" s="9"/>
    </row>
    <row r="271" spans="7:14" customFormat="1" x14ac:dyDescent="0.35">
      <c r="G271" s="9"/>
      <c r="N271" s="9"/>
    </row>
    <row r="272" spans="7:14" customFormat="1" x14ac:dyDescent="0.35">
      <c r="G272" s="9"/>
      <c r="N272" s="9"/>
    </row>
    <row r="273" spans="7:14" customFormat="1" x14ac:dyDescent="0.35">
      <c r="G273" s="9"/>
      <c r="N273" s="9"/>
    </row>
    <row r="274" spans="7:14" customFormat="1" x14ac:dyDescent="0.35">
      <c r="G274" s="9"/>
      <c r="N274" s="9"/>
    </row>
    <row r="275" spans="7:14" customFormat="1" x14ac:dyDescent="0.35">
      <c r="G275" s="9"/>
      <c r="N275" s="9"/>
    </row>
    <row r="276" spans="7:14" customFormat="1" x14ac:dyDescent="0.35">
      <c r="G276" s="9"/>
      <c r="N276" s="9"/>
    </row>
    <row r="277" spans="7:14" customFormat="1" x14ac:dyDescent="0.35">
      <c r="G277" s="9"/>
      <c r="N277" s="9"/>
    </row>
    <row r="278" spans="7:14" customFormat="1" x14ac:dyDescent="0.35">
      <c r="G278" s="9"/>
      <c r="N278" s="9"/>
    </row>
    <row r="279" spans="7:14" customFormat="1" x14ac:dyDescent="0.35">
      <c r="G279" s="9"/>
      <c r="N279" s="9"/>
    </row>
    <row r="280" spans="7:14" customFormat="1" x14ac:dyDescent="0.35">
      <c r="G280" s="9"/>
      <c r="N280" s="9"/>
    </row>
    <row r="281" spans="7:14" customFormat="1" x14ac:dyDescent="0.35">
      <c r="G281" s="9"/>
      <c r="N281" s="9"/>
    </row>
    <row r="282" spans="7:14" customFormat="1" x14ac:dyDescent="0.35">
      <c r="G282" s="9"/>
      <c r="N282" s="9"/>
    </row>
    <row r="283" spans="7:14" customFormat="1" x14ac:dyDescent="0.35">
      <c r="G283" s="9"/>
      <c r="N283" s="9"/>
    </row>
    <row r="284" spans="7:14" customFormat="1" x14ac:dyDescent="0.35">
      <c r="G284" s="9"/>
      <c r="N284" s="9"/>
    </row>
    <row r="285" spans="7:14" customFormat="1" x14ac:dyDescent="0.35">
      <c r="G285" s="9"/>
      <c r="N285" s="9"/>
    </row>
    <row r="286" spans="7:14" customFormat="1" x14ac:dyDescent="0.35">
      <c r="G286" s="9"/>
      <c r="N286" s="9"/>
    </row>
    <row r="287" spans="7:14" customFormat="1" x14ac:dyDescent="0.35">
      <c r="G287" s="9"/>
      <c r="N287" s="9"/>
    </row>
    <row r="288" spans="7:14" customFormat="1" x14ac:dyDescent="0.35">
      <c r="G288" s="9"/>
      <c r="N288" s="9"/>
    </row>
    <row r="289" spans="7:14" customFormat="1" x14ac:dyDescent="0.35">
      <c r="G289" s="9"/>
      <c r="N289" s="9"/>
    </row>
    <row r="290" spans="7:14" customFormat="1" x14ac:dyDescent="0.35">
      <c r="G290" s="9"/>
      <c r="N290" s="9"/>
    </row>
    <row r="291" spans="7:14" customFormat="1" x14ac:dyDescent="0.35">
      <c r="G291" s="9"/>
      <c r="N291" s="9"/>
    </row>
    <row r="292" spans="7:14" customFormat="1" x14ac:dyDescent="0.35">
      <c r="G292" s="9"/>
      <c r="N292" s="9"/>
    </row>
    <row r="293" spans="7:14" customFormat="1" x14ac:dyDescent="0.35">
      <c r="G293" s="9"/>
      <c r="N293" s="9"/>
    </row>
    <row r="294" spans="7:14" customFormat="1" x14ac:dyDescent="0.35">
      <c r="G294" s="9"/>
      <c r="N294" s="9"/>
    </row>
    <row r="295" spans="7:14" customFormat="1" x14ac:dyDescent="0.35">
      <c r="G295" s="9"/>
      <c r="N295" s="9"/>
    </row>
    <row r="296" spans="7:14" customFormat="1" x14ac:dyDescent="0.35">
      <c r="G296" s="9"/>
      <c r="N296" s="9"/>
    </row>
    <row r="297" spans="7:14" customFormat="1" x14ac:dyDescent="0.35">
      <c r="G297" s="9"/>
      <c r="N297" s="9"/>
    </row>
    <row r="298" spans="7:14" customFormat="1" x14ac:dyDescent="0.35">
      <c r="G298" s="9"/>
      <c r="N298" s="9"/>
    </row>
    <row r="299" spans="7:14" customFormat="1" x14ac:dyDescent="0.35">
      <c r="G299" s="9"/>
      <c r="N299" s="9"/>
    </row>
    <row r="300" spans="7:14" customFormat="1" x14ac:dyDescent="0.35">
      <c r="G300" s="9"/>
      <c r="N300" s="9"/>
    </row>
    <row r="301" spans="7:14" customFormat="1" x14ac:dyDescent="0.35">
      <c r="G301" s="9"/>
      <c r="N301" s="9"/>
    </row>
    <row r="302" spans="7:14" customFormat="1" x14ac:dyDescent="0.35">
      <c r="G302" s="9"/>
      <c r="N302" s="9"/>
    </row>
    <row r="303" spans="7:14" customFormat="1" x14ac:dyDescent="0.35">
      <c r="G303" s="9"/>
      <c r="N303" s="9"/>
    </row>
    <row r="304" spans="7:14" customFormat="1" x14ac:dyDescent="0.35">
      <c r="G304" s="9"/>
      <c r="N304" s="9"/>
    </row>
    <row r="305" spans="7:14" customFormat="1" x14ac:dyDescent="0.35">
      <c r="G305" s="9"/>
      <c r="N305" s="9"/>
    </row>
    <row r="306" spans="7:14" customFormat="1" x14ac:dyDescent="0.35">
      <c r="G306" s="9"/>
      <c r="N306" s="9"/>
    </row>
    <row r="307" spans="7:14" customFormat="1" x14ac:dyDescent="0.35">
      <c r="G307" s="9"/>
      <c r="N307" s="9"/>
    </row>
    <row r="308" spans="7:14" customFormat="1" x14ac:dyDescent="0.35">
      <c r="G308" s="9"/>
      <c r="N308" s="9"/>
    </row>
    <row r="309" spans="7:14" customFormat="1" x14ac:dyDescent="0.35">
      <c r="G309" s="9"/>
      <c r="N309" s="9"/>
    </row>
    <row r="310" spans="7:14" customFormat="1" x14ac:dyDescent="0.35">
      <c r="G310" s="9"/>
      <c r="N310" s="9"/>
    </row>
    <row r="311" spans="7:14" customFormat="1" x14ac:dyDescent="0.35">
      <c r="G311" s="9"/>
      <c r="N311" s="9"/>
    </row>
    <row r="312" spans="7:14" customFormat="1" x14ac:dyDescent="0.35">
      <c r="G312" s="9"/>
      <c r="N312" s="9"/>
    </row>
    <row r="313" spans="7:14" customFormat="1" x14ac:dyDescent="0.35">
      <c r="G313" s="9"/>
      <c r="N313" s="9"/>
    </row>
    <row r="314" spans="7:14" customFormat="1" x14ac:dyDescent="0.35">
      <c r="G314" s="9"/>
      <c r="N314" s="9"/>
    </row>
    <row r="315" spans="7:14" customFormat="1" x14ac:dyDescent="0.35">
      <c r="G315" s="9"/>
      <c r="N315" s="9"/>
    </row>
    <row r="316" spans="7:14" customFormat="1" x14ac:dyDescent="0.35">
      <c r="G316" s="9"/>
      <c r="N316" s="9"/>
    </row>
    <row r="317" spans="7:14" customFormat="1" x14ac:dyDescent="0.35">
      <c r="G317" s="9"/>
      <c r="N317" s="9"/>
    </row>
    <row r="318" spans="7:14" customFormat="1" x14ac:dyDescent="0.35">
      <c r="G318" s="9"/>
      <c r="N318" s="9"/>
    </row>
    <row r="319" spans="7:14" customFormat="1" x14ac:dyDescent="0.35">
      <c r="G319" s="9"/>
      <c r="N319" s="9"/>
    </row>
    <row r="320" spans="7:14" customFormat="1" x14ac:dyDescent="0.35">
      <c r="G320" s="9"/>
      <c r="N320" s="9"/>
    </row>
    <row r="321" spans="7:14" customFormat="1" x14ac:dyDescent="0.35">
      <c r="G321" s="9"/>
      <c r="N321" s="9"/>
    </row>
    <row r="322" spans="7:14" customFormat="1" x14ac:dyDescent="0.35">
      <c r="G322" s="9"/>
      <c r="N322" s="9"/>
    </row>
    <row r="323" spans="7:14" customFormat="1" x14ac:dyDescent="0.35">
      <c r="G323" s="9"/>
      <c r="N323" s="9"/>
    </row>
    <row r="324" spans="7:14" customFormat="1" x14ac:dyDescent="0.35">
      <c r="G324" s="9"/>
      <c r="N324" s="9"/>
    </row>
    <row r="325" spans="7:14" customFormat="1" x14ac:dyDescent="0.35">
      <c r="G325" s="9"/>
      <c r="N325" s="9"/>
    </row>
    <row r="326" spans="7:14" customFormat="1" x14ac:dyDescent="0.35">
      <c r="G326" s="9"/>
      <c r="N326" s="9"/>
    </row>
    <row r="327" spans="7:14" customFormat="1" x14ac:dyDescent="0.35">
      <c r="G327" s="9"/>
      <c r="N327" s="9"/>
    </row>
    <row r="328" spans="7:14" customFormat="1" x14ac:dyDescent="0.35">
      <c r="G328" s="9"/>
      <c r="N328" s="9"/>
    </row>
    <row r="329" spans="7:14" customFormat="1" x14ac:dyDescent="0.35">
      <c r="G329" s="9"/>
      <c r="N329" s="9"/>
    </row>
    <row r="330" spans="7:14" customFormat="1" x14ac:dyDescent="0.35">
      <c r="G330" s="9"/>
      <c r="N330" s="9"/>
    </row>
    <row r="331" spans="7:14" customFormat="1" x14ac:dyDescent="0.35">
      <c r="G331" s="9"/>
      <c r="N331" s="9"/>
    </row>
    <row r="332" spans="7:14" customFormat="1" x14ac:dyDescent="0.35">
      <c r="G332" s="9"/>
      <c r="N332" s="9"/>
    </row>
    <row r="333" spans="7:14" customFormat="1" x14ac:dyDescent="0.35">
      <c r="G333" s="9"/>
      <c r="N333" s="9"/>
    </row>
    <row r="334" spans="7:14" customFormat="1" x14ac:dyDescent="0.35">
      <c r="G334" s="9"/>
      <c r="N334" s="9"/>
    </row>
    <row r="335" spans="7:14" customFormat="1" x14ac:dyDescent="0.35">
      <c r="G335" s="9"/>
      <c r="N335" s="9"/>
    </row>
    <row r="336" spans="7:14" customFormat="1" x14ac:dyDescent="0.35">
      <c r="G336" s="9"/>
      <c r="N336" s="9"/>
    </row>
    <row r="337" spans="7:14" customFormat="1" x14ac:dyDescent="0.35">
      <c r="G337" s="9"/>
      <c r="N337" s="9"/>
    </row>
    <row r="338" spans="7:14" customFormat="1" x14ac:dyDescent="0.35">
      <c r="G338" s="9"/>
      <c r="N338" s="9"/>
    </row>
    <row r="339" spans="7:14" customFormat="1" x14ac:dyDescent="0.35">
      <c r="G339" s="9"/>
      <c r="N339" s="9"/>
    </row>
    <row r="340" spans="7:14" customFormat="1" x14ac:dyDescent="0.35">
      <c r="G340" s="9"/>
      <c r="N340" s="9"/>
    </row>
    <row r="341" spans="7:14" customFormat="1" x14ac:dyDescent="0.35">
      <c r="G341" s="9"/>
      <c r="N341" s="9"/>
    </row>
    <row r="342" spans="7:14" customFormat="1" x14ac:dyDescent="0.35">
      <c r="G342" s="9"/>
      <c r="N342" s="9"/>
    </row>
    <row r="343" spans="7:14" customFormat="1" x14ac:dyDescent="0.35">
      <c r="G343" s="9"/>
      <c r="N343" s="9"/>
    </row>
    <row r="344" spans="7:14" customFormat="1" x14ac:dyDescent="0.35">
      <c r="G344" s="9"/>
      <c r="N344" s="9"/>
    </row>
    <row r="345" spans="7:14" customFormat="1" x14ac:dyDescent="0.35">
      <c r="G345" s="9"/>
      <c r="N345" s="9"/>
    </row>
    <row r="346" spans="7:14" customFormat="1" x14ac:dyDescent="0.35">
      <c r="G346" s="9"/>
      <c r="N346" s="9"/>
    </row>
    <row r="347" spans="7:14" customFormat="1" x14ac:dyDescent="0.35">
      <c r="G347" s="9"/>
      <c r="N347" s="9"/>
    </row>
    <row r="348" spans="7:14" customFormat="1" x14ac:dyDescent="0.35">
      <c r="G348" s="9"/>
      <c r="N348" s="9"/>
    </row>
    <row r="349" spans="7:14" customFormat="1" x14ac:dyDescent="0.35">
      <c r="G349" s="9"/>
      <c r="N349" s="9"/>
    </row>
    <row r="350" spans="7:14" customFormat="1" x14ac:dyDescent="0.35">
      <c r="G350" s="9"/>
      <c r="N350" s="9"/>
    </row>
    <row r="351" spans="7:14" customFormat="1" x14ac:dyDescent="0.35">
      <c r="G351" s="9"/>
      <c r="N351" s="9"/>
    </row>
    <row r="352" spans="7:14" customFormat="1" x14ac:dyDescent="0.35">
      <c r="G352" s="9"/>
      <c r="N352" s="9"/>
    </row>
    <row r="353" spans="7:14" customFormat="1" x14ac:dyDescent="0.35">
      <c r="G353" s="9"/>
      <c r="N353" s="9"/>
    </row>
    <row r="354" spans="7:14" customFormat="1" x14ac:dyDescent="0.35">
      <c r="G354" s="9"/>
      <c r="N354" s="9"/>
    </row>
    <row r="355" spans="7:14" customFormat="1" x14ac:dyDescent="0.35">
      <c r="G355" s="9"/>
      <c r="N355" s="9"/>
    </row>
    <row r="356" spans="7:14" customFormat="1" x14ac:dyDescent="0.35">
      <c r="G356" s="9"/>
      <c r="N356" s="9"/>
    </row>
    <row r="357" spans="7:14" customFormat="1" x14ac:dyDescent="0.35">
      <c r="G357" s="9"/>
      <c r="N357" s="9"/>
    </row>
    <row r="358" spans="7:14" customFormat="1" x14ac:dyDescent="0.35">
      <c r="G358" s="9"/>
      <c r="N358" s="9"/>
    </row>
    <row r="359" spans="7:14" customFormat="1" x14ac:dyDescent="0.35">
      <c r="G359" s="9"/>
      <c r="N359" s="9"/>
    </row>
    <row r="360" spans="7:14" customFormat="1" x14ac:dyDescent="0.35">
      <c r="G360" s="9"/>
      <c r="N360" s="9"/>
    </row>
    <row r="361" spans="7:14" customFormat="1" x14ac:dyDescent="0.35">
      <c r="G361" s="9"/>
      <c r="N361" s="9"/>
    </row>
    <row r="362" spans="7:14" customFormat="1" x14ac:dyDescent="0.35">
      <c r="G362" s="9"/>
      <c r="N362" s="9"/>
    </row>
    <row r="363" spans="7:14" customFormat="1" x14ac:dyDescent="0.35">
      <c r="G363" s="9"/>
      <c r="N363" s="9"/>
    </row>
    <row r="364" spans="7:14" customFormat="1" x14ac:dyDescent="0.35">
      <c r="G364" s="9"/>
      <c r="N364" s="9"/>
    </row>
    <row r="365" spans="7:14" customFormat="1" x14ac:dyDescent="0.35">
      <c r="G365" s="9"/>
      <c r="N365" s="9"/>
    </row>
    <row r="366" spans="7:14" customFormat="1" x14ac:dyDescent="0.35">
      <c r="G366" s="9"/>
      <c r="N366" s="9"/>
    </row>
    <row r="367" spans="7:14" customFormat="1" x14ac:dyDescent="0.35">
      <c r="G367" s="9"/>
      <c r="N367" s="9"/>
    </row>
    <row r="368" spans="7:14" customFormat="1" x14ac:dyDescent="0.35">
      <c r="G368" s="9"/>
      <c r="N368" s="9"/>
    </row>
    <row r="369" spans="7:14" customFormat="1" x14ac:dyDescent="0.35">
      <c r="G369" s="9"/>
      <c r="N369" s="9"/>
    </row>
    <row r="370" spans="7:14" customFormat="1" x14ac:dyDescent="0.35">
      <c r="G370" s="9"/>
      <c r="N370" s="9"/>
    </row>
    <row r="371" spans="7:14" customFormat="1" x14ac:dyDescent="0.35">
      <c r="G371" s="9"/>
      <c r="N371" s="9"/>
    </row>
    <row r="372" spans="7:14" customFormat="1" x14ac:dyDescent="0.35">
      <c r="G372" s="9"/>
      <c r="N372" s="9"/>
    </row>
    <row r="373" spans="7:14" customFormat="1" x14ac:dyDescent="0.35">
      <c r="G373" s="9"/>
      <c r="N373" s="9"/>
    </row>
    <row r="374" spans="7:14" customFormat="1" x14ac:dyDescent="0.35">
      <c r="G374" s="9"/>
      <c r="N374" s="9"/>
    </row>
    <row r="375" spans="7:14" customFormat="1" x14ac:dyDescent="0.35">
      <c r="G375" s="9"/>
      <c r="N375" s="9"/>
    </row>
    <row r="376" spans="7:14" customFormat="1" x14ac:dyDescent="0.35">
      <c r="G376" s="9"/>
      <c r="N376" s="9"/>
    </row>
    <row r="377" spans="7:14" customFormat="1" x14ac:dyDescent="0.35">
      <c r="G377" s="9"/>
      <c r="N377" s="9"/>
    </row>
    <row r="378" spans="7:14" customFormat="1" x14ac:dyDescent="0.35">
      <c r="G378" s="9"/>
      <c r="N378" s="9"/>
    </row>
    <row r="379" spans="7:14" customFormat="1" x14ac:dyDescent="0.35">
      <c r="G379" s="9"/>
      <c r="N379" s="9"/>
    </row>
    <row r="380" spans="7:14" customFormat="1" x14ac:dyDescent="0.35">
      <c r="G380" s="9"/>
      <c r="N380" s="9"/>
    </row>
    <row r="381" spans="7:14" customFormat="1" x14ac:dyDescent="0.35">
      <c r="G381" s="9"/>
      <c r="N381" s="9"/>
    </row>
    <row r="382" spans="7:14" customFormat="1" x14ac:dyDescent="0.35">
      <c r="G382" s="9"/>
      <c r="N382" s="9"/>
    </row>
    <row r="383" spans="7:14" customFormat="1" x14ac:dyDescent="0.35">
      <c r="G383" s="9"/>
      <c r="N383" s="9"/>
    </row>
    <row r="384" spans="7:14" customFormat="1" x14ac:dyDescent="0.35">
      <c r="G384" s="9"/>
      <c r="N384" s="9"/>
    </row>
    <row r="385" spans="7:14" customFormat="1" x14ac:dyDescent="0.35">
      <c r="G385" s="9"/>
      <c r="N385" s="9"/>
    </row>
    <row r="386" spans="7:14" customFormat="1" x14ac:dyDescent="0.35">
      <c r="G386" s="9"/>
      <c r="N386" s="9"/>
    </row>
    <row r="387" spans="7:14" customFormat="1" x14ac:dyDescent="0.35">
      <c r="G387" s="9"/>
      <c r="N387" s="9"/>
    </row>
    <row r="388" spans="7:14" customFormat="1" x14ac:dyDescent="0.35">
      <c r="G388" s="9"/>
      <c r="N388" s="9"/>
    </row>
    <row r="389" spans="7:14" customFormat="1" x14ac:dyDescent="0.35">
      <c r="G389" s="9"/>
      <c r="N389" s="9"/>
    </row>
    <row r="390" spans="7:14" customFormat="1" x14ac:dyDescent="0.35">
      <c r="G390" s="9"/>
      <c r="N390" s="9"/>
    </row>
    <row r="391" spans="7:14" customFormat="1" x14ac:dyDescent="0.35">
      <c r="G391" s="9"/>
      <c r="N391" s="9"/>
    </row>
    <row r="392" spans="7:14" customFormat="1" x14ac:dyDescent="0.35">
      <c r="G392" s="9"/>
      <c r="N392" s="9"/>
    </row>
    <row r="393" spans="7:14" customFormat="1" x14ac:dyDescent="0.35">
      <c r="G393" s="9"/>
      <c r="N393" s="9"/>
    </row>
    <row r="394" spans="7:14" customFormat="1" x14ac:dyDescent="0.35">
      <c r="G394" s="9"/>
      <c r="N394" s="9"/>
    </row>
    <row r="395" spans="7:14" customFormat="1" x14ac:dyDescent="0.35">
      <c r="G395" s="9"/>
      <c r="N395" s="9"/>
    </row>
    <row r="396" spans="7:14" customFormat="1" x14ac:dyDescent="0.35">
      <c r="G396" s="9"/>
      <c r="N396" s="9"/>
    </row>
    <row r="397" spans="7:14" customFormat="1" x14ac:dyDescent="0.35">
      <c r="G397" s="9"/>
      <c r="N397" s="9"/>
    </row>
    <row r="398" spans="7:14" customFormat="1" x14ac:dyDescent="0.35">
      <c r="G398" s="9"/>
      <c r="N398" s="9"/>
    </row>
    <row r="399" spans="7:14" customFormat="1" x14ac:dyDescent="0.35">
      <c r="G399" s="9"/>
      <c r="N399" s="9"/>
    </row>
    <row r="400" spans="7:14" customFormat="1" x14ac:dyDescent="0.35">
      <c r="G400" s="9"/>
      <c r="N400" s="9"/>
    </row>
    <row r="401" spans="1:15" x14ac:dyDescent="0.35">
      <c r="A401" s="7"/>
      <c r="B401" s="7"/>
      <c r="C401" s="7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8"/>
      <c r="O401" s="7"/>
    </row>
    <row r="402" spans="1:15" x14ac:dyDescent="0.35">
      <c r="G402" s="1"/>
      <c r="N402" s="1"/>
    </row>
    <row r="403" spans="1:15" x14ac:dyDescent="0.35">
      <c r="G403" s="1"/>
      <c r="N403" s="1"/>
    </row>
    <row r="404" spans="1:15" x14ac:dyDescent="0.35">
      <c r="G404" s="1"/>
      <c r="N404" s="1"/>
    </row>
    <row r="405" spans="1:15" x14ac:dyDescent="0.35">
      <c r="G405" s="1"/>
      <c r="N405" s="1"/>
    </row>
    <row r="406" spans="1:15" x14ac:dyDescent="0.35">
      <c r="G406" s="1"/>
      <c r="N406" s="1"/>
    </row>
    <row r="407" spans="1:15" x14ac:dyDescent="0.35">
      <c r="G407" s="1"/>
      <c r="N407" s="1"/>
    </row>
    <row r="408" spans="1:15" x14ac:dyDescent="0.35">
      <c r="G408" s="1"/>
      <c r="N408" s="1"/>
    </row>
    <row r="409" spans="1:15" x14ac:dyDescent="0.35">
      <c r="G409" s="1"/>
      <c r="N409" s="1"/>
    </row>
    <row r="410" spans="1:15" x14ac:dyDescent="0.35">
      <c r="G410" s="1"/>
      <c r="N410" s="1"/>
    </row>
    <row r="411" spans="1:15" x14ac:dyDescent="0.35">
      <c r="G411" s="1"/>
      <c r="N411" s="1"/>
    </row>
    <row r="412" spans="1:15" x14ac:dyDescent="0.35">
      <c r="G412" s="1"/>
      <c r="N412" s="1"/>
    </row>
    <row r="413" spans="1:15" x14ac:dyDescent="0.35">
      <c r="G413" s="1"/>
      <c r="N413" s="1"/>
    </row>
    <row r="414" spans="1:15" x14ac:dyDescent="0.35">
      <c r="G414" s="1"/>
      <c r="N414" s="1"/>
    </row>
    <row r="415" spans="1:15" x14ac:dyDescent="0.35">
      <c r="G415" s="1"/>
      <c r="N415" s="1"/>
    </row>
    <row r="416" spans="1:15" x14ac:dyDescent="0.35">
      <c r="G416" s="1"/>
      <c r="N416" s="1"/>
    </row>
    <row r="417" spans="7:14" x14ac:dyDescent="0.35">
      <c r="G417" s="1"/>
      <c r="N417" s="1"/>
    </row>
    <row r="418" spans="7:14" x14ac:dyDescent="0.35">
      <c r="G418" s="1"/>
      <c r="N418" s="1"/>
    </row>
    <row r="419" spans="7:14" x14ac:dyDescent="0.35">
      <c r="G419" s="1"/>
      <c r="N419" s="1"/>
    </row>
    <row r="420" spans="7:14" x14ac:dyDescent="0.35">
      <c r="G420" s="1"/>
      <c r="N420" s="1"/>
    </row>
    <row r="421" spans="7:14" x14ac:dyDescent="0.35">
      <c r="G421" s="1"/>
      <c r="N421" s="1"/>
    </row>
    <row r="422" spans="7:14" x14ac:dyDescent="0.35">
      <c r="G422" s="1"/>
      <c r="N422" s="1"/>
    </row>
    <row r="423" spans="7:14" x14ac:dyDescent="0.35">
      <c r="G423" s="1"/>
      <c r="N423" s="1"/>
    </row>
    <row r="424" spans="7:14" x14ac:dyDescent="0.35">
      <c r="G424" s="1"/>
      <c r="N424" s="1"/>
    </row>
    <row r="425" spans="7:14" x14ac:dyDescent="0.35">
      <c r="G425" s="1"/>
      <c r="N425" s="1"/>
    </row>
    <row r="426" spans="7:14" x14ac:dyDescent="0.35">
      <c r="G426" s="1"/>
      <c r="N426" s="1"/>
    </row>
    <row r="427" spans="7:14" x14ac:dyDescent="0.35">
      <c r="G427" s="1"/>
      <c r="N427" s="1"/>
    </row>
    <row r="428" spans="7:14" x14ac:dyDescent="0.35">
      <c r="G428" s="1"/>
      <c r="N428" s="1"/>
    </row>
    <row r="429" spans="7:14" x14ac:dyDescent="0.35">
      <c r="G429" s="1"/>
      <c r="N429" s="1"/>
    </row>
    <row r="430" spans="7:14" x14ac:dyDescent="0.35">
      <c r="G430" s="1"/>
      <c r="N430" s="1"/>
    </row>
    <row r="431" spans="7:14" x14ac:dyDescent="0.35">
      <c r="G431" s="1"/>
      <c r="N431" s="1"/>
    </row>
    <row r="432" spans="7:14" x14ac:dyDescent="0.35">
      <c r="G432" s="1"/>
      <c r="N432" s="1"/>
    </row>
    <row r="433" spans="7:14" x14ac:dyDescent="0.35">
      <c r="G433" s="1"/>
      <c r="N433" s="1"/>
    </row>
    <row r="434" spans="7:14" x14ac:dyDescent="0.35">
      <c r="G434" s="1"/>
      <c r="N434" s="1"/>
    </row>
    <row r="435" spans="7:14" x14ac:dyDescent="0.35">
      <c r="G435" s="1"/>
      <c r="N435" s="1"/>
    </row>
    <row r="436" spans="7:14" x14ac:dyDescent="0.35">
      <c r="G436" s="1"/>
      <c r="N436" s="1"/>
    </row>
    <row r="437" spans="7:14" x14ac:dyDescent="0.35">
      <c r="G437" s="1"/>
      <c r="N437" s="1"/>
    </row>
    <row r="438" spans="7:14" x14ac:dyDescent="0.35">
      <c r="G438" s="1"/>
      <c r="N438" s="1"/>
    </row>
    <row r="439" spans="7:14" x14ac:dyDescent="0.35">
      <c r="G439" s="1"/>
      <c r="N439" s="1"/>
    </row>
    <row r="440" spans="7:14" x14ac:dyDescent="0.35">
      <c r="G440" s="1"/>
      <c r="N440" s="1"/>
    </row>
    <row r="441" spans="7:14" x14ac:dyDescent="0.35">
      <c r="G441" s="1"/>
      <c r="N441" s="1"/>
    </row>
    <row r="442" spans="7:14" x14ac:dyDescent="0.35">
      <c r="G442" s="1"/>
      <c r="N442" s="1"/>
    </row>
    <row r="443" spans="7:14" x14ac:dyDescent="0.35">
      <c r="G443" s="1"/>
      <c r="N443" s="1"/>
    </row>
    <row r="444" spans="7:14" x14ac:dyDescent="0.35">
      <c r="G444" s="1"/>
      <c r="N444" s="1"/>
    </row>
    <row r="445" spans="7:14" x14ac:dyDescent="0.35">
      <c r="G445" s="1"/>
      <c r="N445" s="1"/>
    </row>
    <row r="446" spans="7:14" x14ac:dyDescent="0.35">
      <c r="G446" s="1"/>
      <c r="N446" s="1"/>
    </row>
    <row r="447" spans="7:14" x14ac:dyDescent="0.35">
      <c r="G447" s="1"/>
      <c r="N447" s="1"/>
    </row>
    <row r="448" spans="7:14" x14ac:dyDescent="0.35">
      <c r="G448" s="1"/>
      <c r="N448" s="1"/>
    </row>
    <row r="449" spans="7:14" x14ac:dyDescent="0.35">
      <c r="G449" s="1"/>
      <c r="N449" s="1"/>
    </row>
    <row r="450" spans="7:14" x14ac:dyDescent="0.35">
      <c r="G450" s="1"/>
      <c r="N450" s="1"/>
    </row>
    <row r="451" spans="7:14" x14ac:dyDescent="0.35">
      <c r="G451" s="1"/>
      <c r="N451" s="1"/>
    </row>
    <row r="452" spans="7:14" x14ac:dyDescent="0.35">
      <c r="G452" s="1"/>
      <c r="N452" s="1"/>
    </row>
    <row r="453" spans="7:14" x14ac:dyDescent="0.35">
      <c r="G453" s="1"/>
      <c r="N453" s="1"/>
    </row>
    <row r="454" spans="7:14" x14ac:dyDescent="0.35">
      <c r="G454" s="1"/>
      <c r="N454" s="1"/>
    </row>
    <row r="455" spans="7:14" x14ac:dyDescent="0.35">
      <c r="G455" s="1"/>
      <c r="N455" s="1"/>
    </row>
    <row r="456" spans="7:14" x14ac:dyDescent="0.35">
      <c r="G456" s="1"/>
      <c r="N456" s="1"/>
    </row>
    <row r="457" spans="7:14" x14ac:dyDescent="0.35">
      <c r="G457" s="1"/>
      <c r="N457" s="1"/>
    </row>
    <row r="458" spans="7:14" x14ac:dyDescent="0.35">
      <c r="G458" s="1"/>
      <c r="N458" s="1"/>
    </row>
    <row r="459" spans="7:14" x14ac:dyDescent="0.35">
      <c r="G459" s="1"/>
      <c r="N459" s="1"/>
    </row>
    <row r="460" spans="7:14" x14ac:dyDescent="0.35">
      <c r="G460" s="1"/>
      <c r="N460" s="1"/>
    </row>
    <row r="461" spans="7:14" x14ac:dyDescent="0.35">
      <c r="G461" s="1"/>
      <c r="N461" s="1"/>
    </row>
    <row r="462" spans="7:14" x14ac:dyDescent="0.35">
      <c r="G462" s="1"/>
      <c r="N462" s="1"/>
    </row>
    <row r="463" spans="7:14" x14ac:dyDescent="0.35">
      <c r="G463" s="1"/>
      <c r="N463" s="1"/>
    </row>
    <row r="464" spans="7:14" x14ac:dyDescent="0.35">
      <c r="G464" s="1"/>
      <c r="N464" s="1"/>
    </row>
    <row r="465" spans="7:14" x14ac:dyDescent="0.35">
      <c r="G465" s="1"/>
      <c r="N465" s="1"/>
    </row>
    <row r="466" spans="7:14" x14ac:dyDescent="0.35">
      <c r="G466" s="1"/>
      <c r="N466" s="1"/>
    </row>
    <row r="467" spans="7:14" x14ac:dyDescent="0.35">
      <c r="G467" s="1"/>
      <c r="N467" s="1"/>
    </row>
    <row r="468" spans="7:14" x14ac:dyDescent="0.35">
      <c r="G468" s="1"/>
      <c r="N468" s="1"/>
    </row>
    <row r="469" spans="7:14" x14ac:dyDescent="0.35">
      <c r="G469" s="1"/>
      <c r="N469" s="1"/>
    </row>
    <row r="470" spans="7:14" x14ac:dyDescent="0.35">
      <c r="G470" s="1"/>
      <c r="N470" s="1"/>
    </row>
    <row r="471" spans="7:14" x14ac:dyDescent="0.35">
      <c r="G471" s="1"/>
      <c r="N471" s="1"/>
    </row>
    <row r="472" spans="7:14" x14ac:dyDescent="0.35">
      <c r="G472" s="1"/>
      <c r="N472" s="1"/>
    </row>
    <row r="473" spans="7:14" x14ac:dyDescent="0.35">
      <c r="G473" s="1"/>
      <c r="N473" s="1"/>
    </row>
    <row r="474" spans="7:14" x14ac:dyDescent="0.35">
      <c r="G474" s="1"/>
      <c r="N474" s="1"/>
    </row>
    <row r="475" spans="7:14" x14ac:dyDescent="0.35">
      <c r="G475" s="1"/>
      <c r="N475" s="1"/>
    </row>
    <row r="476" spans="7:14" x14ac:dyDescent="0.35">
      <c r="G476" s="1"/>
      <c r="N476" s="1"/>
    </row>
    <row r="477" spans="7:14" x14ac:dyDescent="0.35">
      <c r="G477" s="1"/>
      <c r="N477" s="1"/>
    </row>
    <row r="478" spans="7:14" x14ac:dyDescent="0.35">
      <c r="G478" s="1"/>
      <c r="N478" s="1"/>
    </row>
    <row r="479" spans="7:14" x14ac:dyDescent="0.35">
      <c r="G479" s="1"/>
      <c r="N479" s="1"/>
    </row>
    <row r="480" spans="7:14" x14ac:dyDescent="0.35">
      <c r="G480" s="1"/>
      <c r="N480" s="1"/>
    </row>
    <row r="481" spans="7:14" x14ac:dyDescent="0.35">
      <c r="G481" s="1"/>
      <c r="N481" s="1"/>
    </row>
    <row r="482" spans="7:14" x14ac:dyDescent="0.35">
      <c r="G482" s="1"/>
      <c r="N482" s="1"/>
    </row>
    <row r="483" spans="7:14" x14ac:dyDescent="0.35">
      <c r="G483" s="1"/>
      <c r="N483" s="1"/>
    </row>
    <row r="484" spans="7:14" x14ac:dyDescent="0.35">
      <c r="G484" s="1"/>
      <c r="N484" s="1"/>
    </row>
    <row r="485" spans="7:14" x14ac:dyDescent="0.35">
      <c r="G485" s="1"/>
      <c r="N485" s="1"/>
    </row>
    <row r="486" spans="7:14" x14ac:dyDescent="0.35">
      <c r="G486" s="1"/>
      <c r="N486" s="1"/>
    </row>
    <row r="487" spans="7:14" x14ac:dyDescent="0.35">
      <c r="G487" s="1"/>
      <c r="N487" s="1"/>
    </row>
    <row r="488" spans="7:14" x14ac:dyDescent="0.35">
      <c r="G488" s="1"/>
      <c r="N488" s="1"/>
    </row>
    <row r="489" spans="7:14" x14ac:dyDescent="0.35">
      <c r="G489" s="1"/>
      <c r="N489" s="1"/>
    </row>
    <row r="490" spans="7:14" x14ac:dyDescent="0.35">
      <c r="G490" s="1"/>
      <c r="N490" s="1"/>
    </row>
    <row r="491" spans="7:14" x14ac:dyDescent="0.35">
      <c r="G491" s="1"/>
      <c r="N491" s="1"/>
    </row>
    <row r="492" spans="7:14" x14ac:dyDescent="0.35">
      <c r="G492" s="1"/>
      <c r="N492" s="1"/>
    </row>
    <row r="493" spans="7:14" x14ac:dyDescent="0.35">
      <c r="G493" s="1"/>
      <c r="N493" s="1"/>
    </row>
    <row r="494" spans="7:14" x14ac:dyDescent="0.35">
      <c r="G494" s="1"/>
      <c r="N494" s="1"/>
    </row>
    <row r="495" spans="7:14" x14ac:dyDescent="0.35">
      <c r="G495" s="1"/>
      <c r="N495" s="1"/>
    </row>
    <row r="496" spans="7:14" x14ac:dyDescent="0.35">
      <c r="G496" s="1"/>
      <c r="N496" s="1"/>
    </row>
    <row r="497" spans="7:14" x14ac:dyDescent="0.35">
      <c r="G497" s="1"/>
      <c r="N497" s="1"/>
    </row>
    <row r="498" spans="7:14" x14ac:dyDescent="0.35">
      <c r="G498" s="1"/>
      <c r="N498" s="1"/>
    </row>
    <row r="499" spans="7:14" x14ac:dyDescent="0.35">
      <c r="G499" s="1"/>
      <c r="N499" s="1"/>
    </row>
    <row r="500" spans="7:14" x14ac:dyDescent="0.35">
      <c r="G500" s="1"/>
      <c r="N500" s="1"/>
    </row>
    <row r="501" spans="7:14" x14ac:dyDescent="0.35">
      <c r="G501" s="1"/>
      <c r="N501" s="1"/>
    </row>
    <row r="502" spans="7:14" x14ac:dyDescent="0.35">
      <c r="G502" s="1"/>
      <c r="N502" s="1"/>
    </row>
    <row r="503" spans="7:14" x14ac:dyDescent="0.35">
      <c r="G503" s="1"/>
      <c r="N503" s="1"/>
    </row>
    <row r="504" spans="7:14" x14ac:dyDescent="0.35">
      <c r="G504" s="1"/>
      <c r="N504" s="1"/>
    </row>
    <row r="505" spans="7:14" x14ac:dyDescent="0.35">
      <c r="G505" s="1"/>
      <c r="N505" s="1"/>
    </row>
    <row r="506" spans="7:14" x14ac:dyDescent="0.35">
      <c r="G506" s="1"/>
      <c r="N506" s="1"/>
    </row>
    <row r="507" spans="7:14" x14ac:dyDescent="0.35">
      <c r="G507" s="1"/>
      <c r="N507" s="1"/>
    </row>
    <row r="508" spans="7:14" x14ac:dyDescent="0.35">
      <c r="G508" s="1"/>
      <c r="N508" s="1"/>
    </row>
    <row r="509" spans="7:14" x14ac:dyDescent="0.35">
      <c r="G509" s="1"/>
      <c r="N509" s="1"/>
    </row>
    <row r="510" spans="7:14" x14ac:dyDescent="0.35">
      <c r="G510" s="1"/>
      <c r="N510" s="1"/>
    </row>
    <row r="511" spans="7:14" x14ac:dyDescent="0.35">
      <c r="G511" s="1"/>
      <c r="N511" s="1"/>
    </row>
    <row r="512" spans="7:14" x14ac:dyDescent="0.35">
      <c r="G512" s="1"/>
      <c r="N512" s="1"/>
    </row>
    <row r="513" spans="7:14" x14ac:dyDescent="0.35">
      <c r="G513" s="1"/>
      <c r="N513" s="1"/>
    </row>
    <row r="514" spans="7:14" x14ac:dyDescent="0.35">
      <c r="G514" s="1"/>
      <c r="N514" s="1"/>
    </row>
    <row r="515" spans="7:14" x14ac:dyDescent="0.35">
      <c r="G515" s="1"/>
      <c r="N515" s="1"/>
    </row>
    <row r="516" spans="7:14" x14ac:dyDescent="0.35">
      <c r="G516" s="1"/>
      <c r="N516" s="1"/>
    </row>
    <row r="517" spans="7:14" x14ac:dyDescent="0.35">
      <c r="G517" s="1"/>
      <c r="N517" s="1"/>
    </row>
    <row r="518" spans="7:14" x14ac:dyDescent="0.35">
      <c r="G518" s="1"/>
      <c r="N518" s="1"/>
    </row>
    <row r="519" spans="7:14" x14ac:dyDescent="0.35">
      <c r="G519" s="1"/>
      <c r="N519" s="1"/>
    </row>
    <row r="520" spans="7:14" x14ac:dyDescent="0.35">
      <c r="G520" s="1"/>
      <c r="N520" s="1"/>
    </row>
    <row r="521" spans="7:14" x14ac:dyDescent="0.35">
      <c r="G521" s="1"/>
      <c r="N521" s="1"/>
    </row>
    <row r="522" spans="7:14" x14ac:dyDescent="0.35">
      <c r="G522" s="1"/>
      <c r="N522" s="1"/>
    </row>
    <row r="523" spans="7:14" x14ac:dyDescent="0.35">
      <c r="G523" s="1"/>
      <c r="N523" s="1"/>
    </row>
    <row r="524" spans="7:14" x14ac:dyDescent="0.35">
      <c r="G524" s="1"/>
      <c r="N524" s="1"/>
    </row>
    <row r="525" spans="7:14" x14ac:dyDescent="0.35">
      <c r="G525" s="1"/>
      <c r="N525" s="1"/>
    </row>
    <row r="526" spans="7:14" x14ac:dyDescent="0.35">
      <c r="G526" s="1"/>
      <c r="N526" s="1"/>
    </row>
    <row r="527" spans="7:14" x14ac:dyDescent="0.35">
      <c r="G527" s="1"/>
      <c r="N527" s="1"/>
    </row>
    <row r="528" spans="7:14" x14ac:dyDescent="0.35">
      <c r="G528" s="1"/>
      <c r="N528" s="1"/>
    </row>
    <row r="529" spans="7:14" x14ac:dyDescent="0.35">
      <c r="G529" s="1"/>
      <c r="N529" s="1"/>
    </row>
    <row r="530" spans="7:14" x14ac:dyDescent="0.35">
      <c r="G530" s="1"/>
      <c r="N530" s="1"/>
    </row>
    <row r="531" spans="7:14" x14ac:dyDescent="0.35">
      <c r="G531" s="1"/>
      <c r="N531" s="1"/>
    </row>
    <row r="532" spans="7:14" x14ac:dyDescent="0.35">
      <c r="G532" s="1"/>
      <c r="N532" s="1"/>
    </row>
    <row r="533" spans="7:14" x14ac:dyDescent="0.35">
      <c r="G533" s="1"/>
      <c r="N533" s="1"/>
    </row>
    <row r="534" spans="7:14" x14ac:dyDescent="0.35">
      <c r="G534" s="1"/>
      <c r="N534" s="1"/>
    </row>
    <row r="535" spans="7:14" x14ac:dyDescent="0.35">
      <c r="G535" s="1"/>
      <c r="N535" s="1"/>
    </row>
    <row r="536" spans="7:14" x14ac:dyDescent="0.35">
      <c r="G536" s="1"/>
      <c r="N536" s="1"/>
    </row>
    <row r="537" spans="7:14" x14ac:dyDescent="0.35">
      <c r="G537" s="1"/>
      <c r="N537" s="1"/>
    </row>
    <row r="538" spans="7:14" x14ac:dyDescent="0.35">
      <c r="G538" s="1"/>
      <c r="N538" s="1"/>
    </row>
    <row r="539" spans="7:14" x14ac:dyDescent="0.35">
      <c r="G539" s="1"/>
      <c r="N539" s="1"/>
    </row>
    <row r="540" spans="7:14" x14ac:dyDescent="0.35">
      <c r="G540" s="1"/>
      <c r="N540" s="1"/>
    </row>
    <row r="541" spans="7:14" x14ac:dyDescent="0.35">
      <c r="G541" s="1"/>
      <c r="N541" s="1"/>
    </row>
    <row r="542" spans="7:14" x14ac:dyDescent="0.35">
      <c r="G542" s="1"/>
      <c r="N542" s="1"/>
    </row>
    <row r="543" spans="7:14" x14ac:dyDescent="0.35">
      <c r="G543" s="1"/>
      <c r="N543" s="1"/>
    </row>
    <row r="544" spans="7:14" x14ac:dyDescent="0.35">
      <c r="G544" s="1"/>
      <c r="N544" s="1"/>
    </row>
    <row r="545" spans="7:14" x14ac:dyDescent="0.35">
      <c r="G545" s="1"/>
      <c r="N545" s="1"/>
    </row>
    <row r="546" spans="7:14" x14ac:dyDescent="0.35">
      <c r="G546" s="1"/>
      <c r="N546" s="1"/>
    </row>
    <row r="547" spans="7:14" x14ac:dyDescent="0.35">
      <c r="G547" s="1"/>
      <c r="N547" s="1"/>
    </row>
    <row r="548" spans="7:14" x14ac:dyDescent="0.35">
      <c r="G548" s="1"/>
      <c r="N548" s="1"/>
    </row>
    <row r="549" spans="7:14" x14ac:dyDescent="0.35">
      <c r="G549" s="1"/>
      <c r="N549" s="1"/>
    </row>
    <row r="550" spans="7:14" x14ac:dyDescent="0.35">
      <c r="G550" s="1"/>
      <c r="N550" s="1"/>
    </row>
    <row r="551" spans="7:14" x14ac:dyDescent="0.35">
      <c r="G551" s="1"/>
      <c r="N551" s="1"/>
    </row>
    <row r="552" spans="7:14" x14ac:dyDescent="0.35">
      <c r="G552" s="1"/>
      <c r="N552" s="1"/>
    </row>
    <row r="553" spans="7:14" x14ac:dyDescent="0.35">
      <c r="G553" s="1"/>
      <c r="N553" s="1"/>
    </row>
    <row r="554" spans="7:14" x14ac:dyDescent="0.35">
      <c r="G554" s="1"/>
      <c r="N554" s="1"/>
    </row>
    <row r="555" spans="7:14" x14ac:dyDescent="0.35">
      <c r="G555" s="1"/>
      <c r="N555" s="1"/>
    </row>
    <row r="556" spans="7:14" x14ac:dyDescent="0.35">
      <c r="G556" s="1"/>
      <c r="N556" s="1"/>
    </row>
    <row r="557" spans="7:14" x14ac:dyDescent="0.35">
      <c r="G557" s="1"/>
      <c r="N557" s="1"/>
    </row>
    <row r="558" spans="7:14" x14ac:dyDescent="0.35">
      <c r="G558" s="1"/>
      <c r="N558" s="1"/>
    </row>
    <row r="559" spans="7:14" x14ac:dyDescent="0.35">
      <c r="G559" s="1"/>
      <c r="N559" s="1"/>
    </row>
    <row r="560" spans="7:14" x14ac:dyDescent="0.35">
      <c r="G560" s="1"/>
      <c r="N560" s="1"/>
    </row>
    <row r="561" spans="7:14" x14ac:dyDescent="0.35">
      <c r="G561" s="1"/>
      <c r="N561" s="1"/>
    </row>
    <row r="562" spans="7:14" x14ac:dyDescent="0.35">
      <c r="G562" s="1"/>
      <c r="N562" s="1"/>
    </row>
    <row r="563" spans="7:14" x14ac:dyDescent="0.35">
      <c r="G563" s="1"/>
      <c r="N563" s="1"/>
    </row>
    <row r="564" spans="7:14" x14ac:dyDescent="0.35">
      <c r="G564" s="1"/>
      <c r="N564" s="1"/>
    </row>
    <row r="565" spans="7:14" x14ac:dyDescent="0.35">
      <c r="G565" s="1"/>
      <c r="N565" s="1"/>
    </row>
    <row r="566" spans="7:14" x14ac:dyDescent="0.35">
      <c r="G566" s="1"/>
      <c r="N566" s="1"/>
    </row>
    <row r="567" spans="7:14" x14ac:dyDescent="0.35">
      <c r="G567" s="1"/>
      <c r="N567" s="1"/>
    </row>
    <row r="568" spans="7:14" x14ac:dyDescent="0.35">
      <c r="G568" s="1"/>
      <c r="N568" s="1"/>
    </row>
    <row r="569" spans="7:14" x14ac:dyDescent="0.35">
      <c r="G569" s="1"/>
      <c r="N569" s="1"/>
    </row>
    <row r="570" spans="7:14" x14ac:dyDescent="0.35">
      <c r="G570" s="1"/>
      <c r="N570" s="1"/>
    </row>
    <row r="571" spans="7:14" x14ac:dyDescent="0.35">
      <c r="G571" s="1"/>
      <c r="N571" s="1"/>
    </row>
    <row r="572" spans="7:14" x14ac:dyDescent="0.35">
      <c r="G572" s="1"/>
      <c r="N572" s="1"/>
    </row>
    <row r="573" spans="7:14" x14ac:dyDescent="0.35">
      <c r="G573" s="1"/>
      <c r="N573" s="1"/>
    </row>
    <row r="574" spans="7:14" x14ac:dyDescent="0.35">
      <c r="G574" s="1"/>
      <c r="N574" s="1"/>
    </row>
    <row r="575" spans="7:14" x14ac:dyDescent="0.35">
      <c r="G575" s="1"/>
      <c r="N575" s="1"/>
    </row>
    <row r="576" spans="7:14" x14ac:dyDescent="0.35">
      <c r="G576" s="1"/>
      <c r="N576" s="1"/>
    </row>
    <row r="577" spans="7:14" x14ac:dyDescent="0.35">
      <c r="G577" s="1"/>
      <c r="N577" s="1"/>
    </row>
    <row r="578" spans="7:14" x14ac:dyDescent="0.35">
      <c r="G578" s="1"/>
      <c r="N578" s="1"/>
    </row>
    <row r="579" spans="7:14" x14ac:dyDescent="0.35">
      <c r="G579" s="1"/>
      <c r="N579" s="1"/>
    </row>
    <row r="580" spans="7:14" x14ac:dyDescent="0.35">
      <c r="G580" s="1"/>
      <c r="N580" s="1"/>
    </row>
    <row r="581" spans="7:14" x14ac:dyDescent="0.35">
      <c r="G581" s="1"/>
      <c r="N581" s="1"/>
    </row>
    <row r="582" spans="7:14" x14ac:dyDescent="0.35">
      <c r="G582" s="1"/>
      <c r="N582" s="1"/>
    </row>
    <row r="583" spans="7:14" x14ac:dyDescent="0.35">
      <c r="G583" s="1"/>
      <c r="N583" s="1"/>
    </row>
    <row r="584" spans="7:14" x14ac:dyDescent="0.35">
      <c r="G584" s="1"/>
      <c r="N584" s="1"/>
    </row>
    <row r="585" spans="7:14" x14ac:dyDescent="0.35">
      <c r="G585" s="1"/>
      <c r="N585" s="1"/>
    </row>
    <row r="586" spans="7:14" x14ac:dyDescent="0.35">
      <c r="G586" s="1"/>
      <c r="N586" s="1"/>
    </row>
    <row r="587" spans="7:14" x14ac:dyDescent="0.35">
      <c r="G587" s="1"/>
      <c r="N587" s="1"/>
    </row>
    <row r="588" spans="7:14" x14ac:dyDescent="0.35">
      <c r="G588" s="1"/>
      <c r="N588" s="1"/>
    </row>
    <row r="589" spans="7:14" x14ac:dyDescent="0.35">
      <c r="G589" s="1"/>
      <c r="N589" s="1"/>
    </row>
    <row r="590" spans="7:14" x14ac:dyDescent="0.35">
      <c r="G590" s="1"/>
      <c r="N590" s="1"/>
    </row>
    <row r="591" spans="7:14" x14ac:dyDescent="0.35">
      <c r="G591" s="1"/>
      <c r="N591" s="1"/>
    </row>
    <row r="592" spans="7:14" x14ac:dyDescent="0.35">
      <c r="G592" s="1"/>
      <c r="N592" s="1"/>
    </row>
    <row r="593" spans="7:14" x14ac:dyDescent="0.35">
      <c r="G593" s="1"/>
      <c r="N593" s="1"/>
    </row>
    <row r="594" spans="7:14" x14ac:dyDescent="0.35">
      <c r="G594" s="1"/>
      <c r="N594" s="1"/>
    </row>
    <row r="595" spans="7:14" x14ac:dyDescent="0.35">
      <c r="G595" s="1"/>
      <c r="N595" s="1"/>
    </row>
    <row r="596" spans="7:14" x14ac:dyDescent="0.35">
      <c r="G596" s="1"/>
      <c r="N596" s="1"/>
    </row>
    <row r="597" spans="7:14" x14ac:dyDescent="0.35">
      <c r="G597" s="1"/>
      <c r="N597" s="1"/>
    </row>
    <row r="598" spans="7:14" x14ac:dyDescent="0.35">
      <c r="G598" s="1"/>
      <c r="N598" s="1"/>
    </row>
    <row r="599" spans="7:14" x14ac:dyDescent="0.35">
      <c r="G599" s="1"/>
      <c r="N599" s="1"/>
    </row>
    <row r="600" spans="7:14" x14ac:dyDescent="0.35">
      <c r="G600" s="1"/>
      <c r="N600" s="1"/>
    </row>
    <row r="601" spans="7:14" x14ac:dyDescent="0.35">
      <c r="G601" s="1"/>
      <c r="N601" s="1"/>
    </row>
    <row r="602" spans="7:14" x14ac:dyDescent="0.35">
      <c r="G602" s="1"/>
      <c r="N602" s="1"/>
    </row>
    <row r="603" spans="7:14" x14ac:dyDescent="0.35">
      <c r="G603" s="1"/>
      <c r="N603" s="1"/>
    </row>
    <row r="604" spans="7:14" x14ac:dyDescent="0.35">
      <c r="G604" s="1"/>
      <c r="N604" s="1"/>
    </row>
    <row r="605" spans="7:14" x14ac:dyDescent="0.35">
      <c r="G605" s="1"/>
      <c r="N605" s="1"/>
    </row>
    <row r="606" spans="7:14" x14ac:dyDescent="0.35">
      <c r="G606" s="1"/>
      <c r="N606" s="1"/>
    </row>
    <row r="607" spans="7:14" x14ac:dyDescent="0.35">
      <c r="G607" s="1"/>
      <c r="N607" s="1"/>
    </row>
    <row r="608" spans="7:14" x14ac:dyDescent="0.35">
      <c r="G608" s="1"/>
      <c r="N608" s="1"/>
    </row>
    <row r="609" spans="7:14" x14ac:dyDescent="0.35">
      <c r="G609" s="1"/>
      <c r="N609" s="1"/>
    </row>
    <row r="610" spans="7:14" x14ac:dyDescent="0.35">
      <c r="G610" s="1"/>
      <c r="N610" s="1"/>
    </row>
    <row r="611" spans="7:14" x14ac:dyDescent="0.35">
      <c r="G611" s="1"/>
      <c r="N611" s="1"/>
    </row>
    <row r="612" spans="7:14" x14ac:dyDescent="0.35">
      <c r="G612" s="1"/>
      <c r="N612" s="1"/>
    </row>
    <row r="613" spans="7:14" x14ac:dyDescent="0.35">
      <c r="G613" s="1"/>
      <c r="N613" s="1"/>
    </row>
    <row r="614" spans="7:14" x14ac:dyDescent="0.35">
      <c r="G614" s="1"/>
      <c r="N614" s="1"/>
    </row>
    <row r="615" spans="7:14" x14ac:dyDescent="0.35">
      <c r="G615" s="1"/>
      <c r="N615" s="1"/>
    </row>
    <row r="616" spans="7:14" x14ac:dyDescent="0.35">
      <c r="G616" s="1"/>
      <c r="N616" s="1"/>
    </row>
    <row r="617" spans="7:14" x14ac:dyDescent="0.35">
      <c r="G617" s="1"/>
      <c r="N617" s="1"/>
    </row>
    <row r="618" spans="7:14" x14ac:dyDescent="0.35">
      <c r="G618" s="1"/>
      <c r="N618" s="1"/>
    </row>
    <row r="619" spans="7:14" x14ac:dyDescent="0.35">
      <c r="G619" s="1"/>
      <c r="N619" s="1"/>
    </row>
    <row r="620" spans="7:14" x14ac:dyDescent="0.35">
      <c r="G620" s="1"/>
      <c r="N620" s="1"/>
    </row>
    <row r="621" spans="7:14" x14ac:dyDescent="0.35">
      <c r="G621" s="1"/>
      <c r="N621" s="1"/>
    </row>
    <row r="622" spans="7:14" x14ac:dyDescent="0.35">
      <c r="G622" s="1"/>
      <c r="N622" s="1"/>
    </row>
    <row r="623" spans="7:14" x14ac:dyDescent="0.35">
      <c r="G623" s="1"/>
      <c r="N623" s="1"/>
    </row>
    <row r="624" spans="7:14" x14ac:dyDescent="0.35">
      <c r="G624" s="1"/>
      <c r="N624" s="1"/>
    </row>
    <row r="625" spans="7:14" x14ac:dyDescent="0.35">
      <c r="G625" s="1"/>
      <c r="N625" s="1"/>
    </row>
    <row r="626" spans="7:14" x14ac:dyDescent="0.35">
      <c r="G626" s="1"/>
      <c r="N626" s="1"/>
    </row>
    <row r="627" spans="7:14" x14ac:dyDescent="0.35">
      <c r="G627" s="1"/>
      <c r="N627" s="1"/>
    </row>
    <row r="628" spans="7:14" x14ac:dyDescent="0.35">
      <c r="G628" s="1"/>
      <c r="N628" s="1"/>
    </row>
    <row r="629" spans="7:14" x14ac:dyDescent="0.35">
      <c r="G629" s="1"/>
      <c r="N629" s="1"/>
    </row>
    <row r="630" spans="7:14" x14ac:dyDescent="0.35">
      <c r="G630" s="1"/>
      <c r="N630" s="1"/>
    </row>
    <row r="631" spans="7:14" x14ac:dyDescent="0.35">
      <c r="G631" s="1"/>
      <c r="N631" s="1"/>
    </row>
    <row r="632" spans="7:14" x14ac:dyDescent="0.35">
      <c r="G632" s="1"/>
      <c r="N632" s="1"/>
    </row>
    <row r="633" spans="7:14" x14ac:dyDescent="0.35">
      <c r="G633" s="1"/>
      <c r="N633" s="1"/>
    </row>
    <row r="634" spans="7:14" x14ac:dyDescent="0.35">
      <c r="G634" s="1"/>
      <c r="N634" s="1"/>
    </row>
    <row r="635" spans="7:14" x14ac:dyDescent="0.35">
      <c r="G635" s="1"/>
      <c r="N635" s="1"/>
    </row>
    <row r="636" spans="7:14" x14ac:dyDescent="0.35">
      <c r="G636" s="1"/>
      <c r="N636" s="1"/>
    </row>
    <row r="637" spans="7:14" x14ac:dyDescent="0.35">
      <c r="G637" s="1"/>
      <c r="N637" s="1"/>
    </row>
    <row r="638" spans="7:14" x14ac:dyDescent="0.35">
      <c r="G638" s="1"/>
      <c r="N638" s="1"/>
    </row>
    <row r="639" spans="7:14" x14ac:dyDescent="0.35">
      <c r="G639" s="1"/>
      <c r="N639" s="1"/>
    </row>
    <row r="640" spans="7:14" x14ac:dyDescent="0.35">
      <c r="G640" s="1"/>
      <c r="N640" s="1"/>
    </row>
    <row r="641" spans="7:14" x14ac:dyDescent="0.35">
      <c r="G641" s="1"/>
      <c r="N641" s="1"/>
    </row>
    <row r="642" spans="7:14" x14ac:dyDescent="0.35">
      <c r="G642" s="1"/>
      <c r="N642" s="1"/>
    </row>
    <row r="643" spans="7:14" x14ac:dyDescent="0.35">
      <c r="G643" s="1"/>
      <c r="N643" s="1"/>
    </row>
    <row r="644" spans="7:14" x14ac:dyDescent="0.35">
      <c r="G644" s="1"/>
      <c r="N644" s="1"/>
    </row>
    <row r="645" spans="7:14" x14ac:dyDescent="0.35">
      <c r="G645" s="1"/>
      <c r="N645" s="1"/>
    </row>
    <row r="646" spans="7:14" x14ac:dyDescent="0.35">
      <c r="G646" s="1"/>
      <c r="N646" s="1"/>
    </row>
    <row r="647" spans="7:14" x14ac:dyDescent="0.35">
      <c r="G647" s="1"/>
      <c r="N647" s="1"/>
    </row>
    <row r="648" spans="7:14" x14ac:dyDescent="0.35">
      <c r="G648" s="1"/>
      <c r="N648" s="1"/>
    </row>
    <row r="649" spans="7:14" x14ac:dyDescent="0.35">
      <c r="G649" s="1"/>
      <c r="N649" s="1"/>
    </row>
    <row r="650" spans="7:14" x14ac:dyDescent="0.35">
      <c r="G650" s="1"/>
      <c r="N650" s="1"/>
    </row>
    <row r="651" spans="7:14" x14ac:dyDescent="0.35">
      <c r="G651" s="1"/>
      <c r="N651" s="1"/>
    </row>
    <row r="652" spans="7:14" x14ac:dyDescent="0.35">
      <c r="G652" s="1"/>
    </row>
    <row r="653" spans="7:14" x14ac:dyDescent="0.35">
      <c r="G653" s="1"/>
    </row>
    <row r="654" spans="7:14" x14ac:dyDescent="0.35">
      <c r="G654" s="1"/>
    </row>
    <row r="655" spans="7:14" x14ac:dyDescent="0.35">
      <c r="G655" s="1"/>
    </row>
    <row r="656" spans="7:14" x14ac:dyDescent="0.35">
      <c r="G656" s="1"/>
    </row>
    <row r="657" spans="7:7" x14ac:dyDescent="0.35">
      <c r="G657" s="1"/>
    </row>
    <row r="658" spans="7:7" x14ac:dyDescent="0.35">
      <c r="G658" s="1"/>
    </row>
    <row r="659" spans="7:7" x14ac:dyDescent="0.35">
      <c r="G659" s="1"/>
    </row>
    <row r="660" spans="7:7" x14ac:dyDescent="0.35">
      <c r="G660" s="1"/>
    </row>
    <row r="661" spans="7:7" x14ac:dyDescent="0.35">
      <c r="G661" s="1"/>
    </row>
    <row r="662" spans="7:7" x14ac:dyDescent="0.35">
      <c r="G662" s="1"/>
    </row>
    <row r="663" spans="7:7" x14ac:dyDescent="0.35">
      <c r="G663" s="1"/>
    </row>
    <row r="664" spans="7:7" x14ac:dyDescent="0.35">
      <c r="G664" s="1"/>
    </row>
    <row r="665" spans="7:7" x14ac:dyDescent="0.35">
      <c r="G665" s="1"/>
    </row>
    <row r="666" spans="7:7" x14ac:dyDescent="0.35">
      <c r="G666" s="1"/>
    </row>
    <row r="667" spans="7:7" x14ac:dyDescent="0.35">
      <c r="G667" s="1"/>
    </row>
    <row r="668" spans="7:7" x14ac:dyDescent="0.35">
      <c r="G668" s="1"/>
    </row>
    <row r="669" spans="7:7" x14ac:dyDescent="0.35">
      <c r="G669" s="1"/>
    </row>
    <row r="670" spans="7:7" x14ac:dyDescent="0.35">
      <c r="G670" s="1"/>
    </row>
    <row r="671" spans="7:7" x14ac:dyDescent="0.35">
      <c r="G671" s="1"/>
    </row>
    <row r="672" spans="7:7" x14ac:dyDescent="0.35">
      <c r="G672" s="1"/>
    </row>
    <row r="673" spans="7:7" x14ac:dyDescent="0.35">
      <c r="G673" s="1"/>
    </row>
    <row r="674" spans="7:7" x14ac:dyDescent="0.35">
      <c r="G674" s="1"/>
    </row>
    <row r="675" spans="7:7" x14ac:dyDescent="0.35">
      <c r="G675" s="1"/>
    </row>
    <row r="676" spans="7:7" x14ac:dyDescent="0.35">
      <c r="G676" s="1"/>
    </row>
    <row r="677" spans="7:7" x14ac:dyDescent="0.35">
      <c r="G677" s="1"/>
    </row>
    <row r="678" spans="7:7" x14ac:dyDescent="0.35">
      <c r="G678" s="1"/>
    </row>
    <row r="679" spans="7:7" x14ac:dyDescent="0.35">
      <c r="G679" s="1"/>
    </row>
    <row r="680" spans="7:7" x14ac:dyDescent="0.35">
      <c r="G680" s="1"/>
    </row>
    <row r="681" spans="7:7" x14ac:dyDescent="0.35">
      <c r="G681" s="1"/>
    </row>
    <row r="682" spans="7:7" x14ac:dyDescent="0.35">
      <c r="G682" s="1"/>
    </row>
    <row r="683" spans="7:7" x14ac:dyDescent="0.35">
      <c r="G683" s="1"/>
    </row>
    <row r="684" spans="7:7" x14ac:dyDescent="0.35">
      <c r="G684" s="1"/>
    </row>
    <row r="685" spans="7:7" x14ac:dyDescent="0.35">
      <c r="G685" s="1"/>
    </row>
    <row r="686" spans="7:7" x14ac:dyDescent="0.35">
      <c r="G686" s="1"/>
    </row>
    <row r="687" spans="7:7" x14ac:dyDescent="0.35">
      <c r="G687" s="1"/>
    </row>
    <row r="688" spans="7:7" x14ac:dyDescent="0.35">
      <c r="G688" s="1"/>
    </row>
    <row r="689" spans="7:7" x14ac:dyDescent="0.35">
      <c r="G689" s="1"/>
    </row>
    <row r="690" spans="7:7" x14ac:dyDescent="0.35">
      <c r="G690" s="1"/>
    </row>
    <row r="691" spans="7:7" x14ac:dyDescent="0.35">
      <c r="G691" s="1"/>
    </row>
    <row r="692" spans="7:7" x14ac:dyDescent="0.35">
      <c r="G692" s="1"/>
    </row>
    <row r="693" spans="7:7" x14ac:dyDescent="0.35">
      <c r="G693" s="1"/>
    </row>
    <row r="694" spans="7:7" x14ac:dyDescent="0.35">
      <c r="G694" s="1"/>
    </row>
    <row r="695" spans="7:7" x14ac:dyDescent="0.35">
      <c r="G695" s="1"/>
    </row>
    <row r="696" spans="7:7" x14ac:dyDescent="0.35">
      <c r="G696" s="1"/>
    </row>
    <row r="697" spans="7:7" x14ac:dyDescent="0.35">
      <c r="G697" s="1"/>
    </row>
    <row r="698" spans="7:7" x14ac:dyDescent="0.35">
      <c r="G698" s="1"/>
    </row>
    <row r="699" spans="7:7" x14ac:dyDescent="0.35">
      <c r="G699" s="1"/>
    </row>
    <row r="700" spans="7:7" x14ac:dyDescent="0.35">
      <c r="G700" s="1"/>
    </row>
    <row r="701" spans="7:7" x14ac:dyDescent="0.35">
      <c r="G701" s="1"/>
    </row>
    <row r="702" spans="7:7" x14ac:dyDescent="0.35">
      <c r="G702" s="1"/>
    </row>
    <row r="703" spans="7:7" x14ac:dyDescent="0.35">
      <c r="G703" s="1"/>
    </row>
    <row r="704" spans="7:7" x14ac:dyDescent="0.35">
      <c r="G704" s="1"/>
    </row>
    <row r="705" spans="7:7" x14ac:dyDescent="0.35">
      <c r="G705" s="1"/>
    </row>
    <row r="706" spans="7:7" x14ac:dyDescent="0.35">
      <c r="G706" s="1"/>
    </row>
    <row r="707" spans="7:7" x14ac:dyDescent="0.35">
      <c r="G707" s="1"/>
    </row>
    <row r="708" spans="7:7" x14ac:dyDescent="0.35">
      <c r="G708" s="1"/>
    </row>
    <row r="709" spans="7:7" x14ac:dyDescent="0.35">
      <c r="G709" s="1"/>
    </row>
    <row r="710" spans="7:7" x14ac:dyDescent="0.35">
      <c r="G710" s="1"/>
    </row>
    <row r="711" spans="7:7" x14ac:dyDescent="0.35">
      <c r="G711" s="1"/>
    </row>
    <row r="712" spans="7:7" x14ac:dyDescent="0.35">
      <c r="G712" s="1"/>
    </row>
    <row r="713" spans="7:7" x14ac:dyDescent="0.35">
      <c r="G713" s="1"/>
    </row>
    <row r="714" spans="7:7" x14ac:dyDescent="0.35">
      <c r="G714" s="1"/>
    </row>
    <row r="715" spans="7:7" x14ac:dyDescent="0.35">
      <c r="G715" s="1"/>
    </row>
    <row r="716" spans="7:7" x14ac:dyDescent="0.35">
      <c r="G716" s="1"/>
    </row>
    <row r="717" spans="7:7" x14ac:dyDescent="0.35">
      <c r="G717" s="1"/>
    </row>
    <row r="718" spans="7:7" x14ac:dyDescent="0.35">
      <c r="G718" s="1"/>
    </row>
    <row r="719" spans="7:7" x14ac:dyDescent="0.35">
      <c r="G719" s="1"/>
    </row>
    <row r="720" spans="7:7" x14ac:dyDescent="0.35">
      <c r="G720" s="1"/>
    </row>
    <row r="721" spans="7:7" x14ac:dyDescent="0.35">
      <c r="G721" s="1"/>
    </row>
    <row r="722" spans="7:7" x14ac:dyDescent="0.35">
      <c r="G722" s="1"/>
    </row>
    <row r="723" spans="7:7" x14ac:dyDescent="0.35">
      <c r="G723" s="1"/>
    </row>
    <row r="724" spans="7:7" x14ac:dyDescent="0.35">
      <c r="G724" s="1"/>
    </row>
    <row r="725" spans="7:7" x14ac:dyDescent="0.35">
      <c r="G725" s="1"/>
    </row>
    <row r="726" spans="7:7" x14ac:dyDescent="0.35">
      <c r="G726" s="1"/>
    </row>
    <row r="727" spans="7:7" x14ac:dyDescent="0.35">
      <c r="G727" s="1"/>
    </row>
    <row r="728" spans="7:7" x14ac:dyDescent="0.35">
      <c r="G728" s="1"/>
    </row>
    <row r="729" spans="7:7" x14ac:dyDescent="0.35">
      <c r="G729" s="1"/>
    </row>
    <row r="730" spans="7:7" x14ac:dyDescent="0.35">
      <c r="G730" s="1"/>
    </row>
    <row r="731" spans="7:7" x14ac:dyDescent="0.35">
      <c r="G731" s="1"/>
    </row>
    <row r="732" spans="7:7" x14ac:dyDescent="0.35">
      <c r="G732" s="1"/>
    </row>
    <row r="733" spans="7:7" x14ac:dyDescent="0.35">
      <c r="G733" s="1"/>
    </row>
    <row r="734" spans="7:7" x14ac:dyDescent="0.35">
      <c r="G734" s="1"/>
    </row>
    <row r="735" spans="7:7" x14ac:dyDescent="0.35">
      <c r="G735" s="1"/>
    </row>
    <row r="736" spans="7:7" x14ac:dyDescent="0.35">
      <c r="G736" s="1"/>
    </row>
    <row r="737" spans="7:7" x14ac:dyDescent="0.35">
      <c r="G737" s="1"/>
    </row>
    <row r="738" spans="7:7" x14ac:dyDescent="0.35">
      <c r="G738" s="1"/>
    </row>
    <row r="739" spans="7:7" x14ac:dyDescent="0.35">
      <c r="G739" s="1"/>
    </row>
    <row r="740" spans="7:7" x14ac:dyDescent="0.35">
      <c r="G740" s="1"/>
    </row>
    <row r="741" spans="7:7" x14ac:dyDescent="0.35">
      <c r="G741" s="1"/>
    </row>
    <row r="742" spans="7:7" x14ac:dyDescent="0.35">
      <c r="G742" s="1"/>
    </row>
    <row r="743" spans="7:7" x14ac:dyDescent="0.35">
      <c r="G743" s="1"/>
    </row>
    <row r="744" spans="7:7" x14ac:dyDescent="0.35">
      <c r="G744" s="1"/>
    </row>
    <row r="745" spans="7:7" x14ac:dyDescent="0.35">
      <c r="G745" s="1"/>
    </row>
    <row r="746" spans="7:7" x14ac:dyDescent="0.35">
      <c r="G746" s="1"/>
    </row>
    <row r="747" spans="7:7" x14ac:dyDescent="0.35">
      <c r="G747" s="1"/>
    </row>
    <row r="748" spans="7:7" x14ac:dyDescent="0.35">
      <c r="G748" s="1"/>
    </row>
    <row r="749" spans="7:7" x14ac:dyDescent="0.35">
      <c r="G749" s="1"/>
    </row>
    <row r="750" spans="7:7" x14ac:dyDescent="0.35">
      <c r="G750" s="1"/>
    </row>
    <row r="751" spans="7:7" x14ac:dyDescent="0.35">
      <c r="G751" s="1"/>
    </row>
    <row r="752" spans="7:7" x14ac:dyDescent="0.35">
      <c r="G752" s="1"/>
    </row>
    <row r="753" spans="7:7" x14ac:dyDescent="0.35">
      <c r="G753" s="1"/>
    </row>
    <row r="754" spans="7:7" x14ac:dyDescent="0.35">
      <c r="G754" s="1"/>
    </row>
    <row r="755" spans="7:7" x14ac:dyDescent="0.35">
      <c r="G755" s="1"/>
    </row>
    <row r="756" spans="7:7" x14ac:dyDescent="0.35">
      <c r="G756" s="1"/>
    </row>
    <row r="757" spans="7:7" x14ac:dyDescent="0.35">
      <c r="G757" s="1"/>
    </row>
    <row r="758" spans="7:7" x14ac:dyDescent="0.35">
      <c r="G758" s="1"/>
    </row>
    <row r="759" spans="7:7" x14ac:dyDescent="0.35">
      <c r="G759" s="1"/>
    </row>
    <row r="760" spans="7:7" x14ac:dyDescent="0.35">
      <c r="G760" s="1"/>
    </row>
    <row r="761" spans="7:7" x14ac:dyDescent="0.35">
      <c r="G761" s="1"/>
    </row>
    <row r="762" spans="7:7" x14ac:dyDescent="0.35">
      <c r="G762" s="1"/>
    </row>
    <row r="763" spans="7:7" x14ac:dyDescent="0.35">
      <c r="G763" s="1"/>
    </row>
    <row r="764" spans="7:7" x14ac:dyDescent="0.35">
      <c r="G764" s="1"/>
    </row>
    <row r="765" spans="7:7" x14ac:dyDescent="0.35">
      <c r="G765" s="1"/>
    </row>
    <row r="766" spans="7:7" x14ac:dyDescent="0.35">
      <c r="G766" s="1"/>
    </row>
    <row r="767" spans="7:7" x14ac:dyDescent="0.35">
      <c r="G767" s="1"/>
    </row>
    <row r="768" spans="7:7" x14ac:dyDescent="0.35">
      <c r="G768" s="1"/>
    </row>
    <row r="769" spans="7:7" x14ac:dyDescent="0.35">
      <c r="G769" s="1"/>
    </row>
    <row r="770" spans="7:7" x14ac:dyDescent="0.35">
      <c r="G770" s="1"/>
    </row>
    <row r="771" spans="7:7" x14ac:dyDescent="0.35">
      <c r="G771" s="1"/>
    </row>
    <row r="772" spans="7:7" x14ac:dyDescent="0.35">
      <c r="G772" s="1"/>
    </row>
    <row r="773" spans="7:7" x14ac:dyDescent="0.35">
      <c r="G773" s="1"/>
    </row>
    <row r="774" spans="7:7" x14ac:dyDescent="0.35">
      <c r="G774" s="1"/>
    </row>
    <row r="775" spans="7:7" x14ac:dyDescent="0.35">
      <c r="G775" s="1"/>
    </row>
    <row r="776" spans="7:7" x14ac:dyDescent="0.35">
      <c r="G776" s="1"/>
    </row>
    <row r="777" spans="7:7" x14ac:dyDescent="0.35">
      <c r="G777" s="1"/>
    </row>
    <row r="778" spans="7:7" x14ac:dyDescent="0.35">
      <c r="G778" s="1"/>
    </row>
    <row r="779" spans="7:7" x14ac:dyDescent="0.35">
      <c r="G779" s="1"/>
    </row>
    <row r="780" spans="7:7" x14ac:dyDescent="0.35">
      <c r="G780" s="1"/>
    </row>
    <row r="781" spans="7:7" x14ac:dyDescent="0.35">
      <c r="G781" s="1"/>
    </row>
    <row r="782" spans="7:7" x14ac:dyDescent="0.35">
      <c r="G782" s="1"/>
    </row>
    <row r="783" spans="7:7" x14ac:dyDescent="0.35">
      <c r="G783" s="1"/>
    </row>
    <row r="784" spans="7:7" x14ac:dyDescent="0.35">
      <c r="G784" s="1"/>
    </row>
    <row r="785" spans="7:7" x14ac:dyDescent="0.35">
      <c r="G785" s="1"/>
    </row>
    <row r="786" spans="7:7" x14ac:dyDescent="0.35">
      <c r="G786" s="1"/>
    </row>
    <row r="787" spans="7:7" x14ac:dyDescent="0.35">
      <c r="G787" s="1"/>
    </row>
    <row r="788" spans="7:7" x14ac:dyDescent="0.35">
      <c r="G788" s="1"/>
    </row>
    <row r="789" spans="7:7" x14ac:dyDescent="0.35">
      <c r="G789" s="1"/>
    </row>
    <row r="790" spans="7:7" x14ac:dyDescent="0.35">
      <c r="G790" s="1"/>
    </row>
    <row r="791" spans="7:7" x14ac:dyDescent="0.35">
      <c r="G791" s="1"/>
    </row>
    <row r="792" spans="7:7" x14ac:dyDescent="0.35">
      <c r="G792" s="1"/>
    </row>
    <row r="793" spans="7:7" x14ac:dyDescent="0.35">
      <c r="G793" s="1"/>
    </row>
    <row r="794" spans="7:7" x14ac:dyDescent="0.35">
      <c r="G794" s="1"/>
    </row>
    <row r="795" spans="7:7" x14ac:dyDescent="0.35">
      <c r="G795" s="1"/>
    </row>
    <row r="796" spans="7:7" x14ac:dyDescent="0.35">
      <c r="G796" s="1"/>
    </row>
    <row r="797" spans="7:7" x14ac:dyDescent="0.35">
      <c r="G797" s="1"/>
    </row>
    <row r="798" spans="7:7" x14ac:dyDescent="0.35">
      <c r="G798" s="1"/>
    </row>
    <row r="799" spans="7:7" x14ac:dyDescent="0.35">
      <c r="G799" s="1"/>
    </row>
    <row r="800" spans="7:7" x14ac:dyDescent="0.35">
      <c r="G800" s="1"/>
    </row>
    <row r="801" spans="7:7" x14ac:dyDescent="0.35">
      <c r="G801" s="1"/>
    </row>
    <row r="802" spans="7:7" x14ac:dyDescent="0.35">
      <c r="G802" s="1"/>
    </row>
    <row r="803" spans="7:7" x14ac:dyDescent="0.35">
      <c r="G803" s="1"/>
    </row>
    <row r="804" spans="7:7" x14ac:dyDescent="0.35">
      <c r="G804" s="1"/>
    </row>
    <row r="805" spans="7:7" x14ac:dyDescent="0.35">
      <c r="G805" s="1"/>
    </row>
    <row r="806" spans="7:7" x14ac:dyDescent="0.35">
      <c r="G806" s="1"/>
    </row>
    <row r="807" spans="7:7" x14ac:dyDescent="0.35">
      <c r="G807" s="1"/>
    </row>
    <row r="808" spans="7:7" x14ac:dyDescent="0.35">
      <c r="G808" s="1"/>
    </row>
    <row r="809" spans="7:7" x14ac:dyDescent="0.35">
      <c r="G809" s="1"/>
    </row>
    <row r="810" spans="7:7" x14ac:dyDescent="0.35">
      <c r="G810" s="1"/>
    </row>
    <row r="811" spans="7:7" x14ac:dyDescent="0.35">
      <c r="G811" s="1"/>
    </row>
    <row r="812" spans="7:7" x14ac:dyDescent="0.35">
      <c r="G812" s="1"/>
    </row>
    <row r="813" spans="7:7" x14ac:dyDescent="0.35">
      <c r="G813" s="1"/>
    </row>
    <row r="814" spans="7:7" x14ac:dyDescent="0.35">
      <c r="G814" s="1"/>
    </row>
    <row r="815" spans="7:7" x14ac:dyDescent="0.35">
      <c r="G815" s="1"/>
    </row>
    <row r="816" spans="7:7" x14ac:dyDescent="0.35">
      <c r="G816" s="1"/>
    </row>
    <row r="817" spans="7:7" x14ac:dyDescent="0.35">
      <c r="G817" s="1"/>
    </row>
    <row r="818" spans="7:7" x14ac:dyDescent="0.35">
      <c r="G818" s="1"/>
    </row>
    <row r="819" spans="7:7" x14ac:dyDescent="0.35">
      <c r="G819" s="1"/>
    </row>
    <row r="820" spans="7:7" x14ac:dyDescent="0.35">
      <c r="G820" s="1"/>
    </row>
    <row r="821" spans="7:7" x14ac:dyDescent="0.35">
      <c r="G821" s="1"/>
    </row>
    <row r="822" spans="7:7" x14ac:dyDescent="0.35">
      <c r="G822" s="1"/>
    </row>
    <row r="823" spans="7:7" x14ac:dyDescent="0.35">
      <c r="G823" s="1"/>
    </row>
    <row r="824" spans="7:7" x14ac:dyDescent="0.35">
      <c r="G824" s="1"/>
    </row>
    <row r="825" spans="7:7" x14ac:dyDescent="0.35">
      <c r="G825" s="1"/>
    </row>
    <row r="826" spans="7:7" x14ac:dyDescent="0.35">
      <c r="G826" s="1"/>
    </row>
    <row r="827" spans="7:7" x14ac:dyDescent="0.35">
      <c r="G827" s="1"/>
    </row>
    <row r="828" spans="7:7" x14ac:dyDescent="0.35">
      <c r="G828" s="1"/>
    </row>
    <row r="829" spans="7:7" x14ac:dyDescent="0.35">
      <c r="G829" s="1"/>
    </row>
    <row r="830" spans="7:7" x14ac:dyDescent="0.35">
      <c r="G830" s="1"/>
    </row>
    <row r="831" spans="7:7" x14ac:dyDescent="0.35">
      <c r="G831" s="1"/>
    </row>
    <row r="832" spans="7:7" x14ac:dyDescent="0.35">
      <c r="G832" s="1"/>
    </row>
    <row r="833" spans="7:7" x14ac:dyDescent="0.35">
      <c r="G833" s="1"/>
    </row>
    <row r="834" spans="7:7" x14ac:dyDescent="0.35">
      <c r="G834" s="1"/>
    </row>
    <row r="835" spans="7:7" x14ac:dyDescent="0.35">
      <c r="G835" s="1"/>
    </row>
    <row r="836" spans="7:7" x14ac:dyDescent="0.35">
      <c r="G836" s="1"/>
    </row>
    <row r="837" spans="7:7" x14ac:dyDescent="0.35">
      <c r="G837" s="1"/>
    </row>
    <row r="838" spans="7:7" x14ac:dyDescent="0.35">
      <c r="G838" s="1"/>
    </row>
    <row r="839" spans="7:7" x14ac:dyDescent="0.35">
      <c r="G839" s="1"/>
    </row>
    <row r="840" spans="7:7" x14ac:dyDescent="0.35">
      <c r="G840" s="1"/>
    </row>
    <row r="841" spans="7:7" x14ac:dyDescent="0.35">
      <c r="G841" s="1"/>
    </row>
    <row r="842" spans="7:7" x14ac:dyDescent="0.35">
      <c r="G842" s="1"/>
    </row>
    <row r="843" spans="7:7" x14ac:dyDescent="0.35">
      <c r="G843" s="1"/>
    </row>
    <row r="844" spans="7:7" x14ac:dyDescent="0.35">
      <c r="G844" s="1"/>
    </row>
    <row r="845" spans="7:7" x14ac:dyDescent="0.35">
      <c r="G845" s="1"/>
    </row>
    <row r="846" spans="7:7" x14ac:dyDescent="0.35">
      <c r="G846" s="1"/>
    </row>
    <row r="847" spans="7:7" x14ac:dyDescent="0.35">
      <c r="G847" s="1"/>
    </row>
    <row r="848" spans="7:7" x14ac:dyDescent="0.35">
      <c r="G848" s="1"/>
    </row>
    <row r="849" spans="7:7" x14ac:dyDescent="0.35">
      <c r="G849" s="1"/>
    </row>
    <row r="850" spans="7:7" x14ac:dyDescent="0.35">
      <c r="G850" s="1"/>
    </row>
    <row r="851" spans="7:7" x14ac:dyDescent="0.35">
      <c r="G851" s="1"/>
    </row>
    <row r="852" spans="7:7" x14ac:dyDescent="0.35">
      <c r="G852" s="1"/>
    </row>
    <row r="853" spans="7:7" x14ac:dyDescent="0.35">
      <c r="G853" s="1"/>
    </row>
    <row r="854" spans="7:7" x14ac:dyDescent="0.35">
      <c r="G854" s="1"/>
    </row>
    <row r="855" spans="7:7" x14ac:dyDescent="0.35">
      <c r="G855" s="1"/>
    </row>
    <row r="856" spans="7:7" x14ac:dyDescent="0.35">
      <c r="G856" s="1"/>
    </row>
    <row r="857" spans="7:7" x14ac:dyDescent="0.35">
      <c r="G857" s="1"/>
    </row>
    <row r="858" spans="7:7" x14ac:dyDescent="0.35">
      <c r="G858" s="1"/>
    </row>
    <row r="859" spans="7:7" x14ac:dyDescent="0.35">
      <c r="G859" s="1"/>
    </row>
    <row r="860" spans="7:7" x14ac:dyDescent="0.35">
      <c r="G860" s="1"/>
    </row>
    <row r="861" spans="7:7" x14ac:dyDescent="0.35">
      <c r="G861" s="1"/>
    </row>
    <row r="862" spans="7:7" x14ac:dyDescent="0.35">
      <c r="G862" s="1"/>
    </row>
    <row r="863" spans="7:7" x14ac:dyDescent="0.35">
      <c r="G863" s="1"/>
    </row>
    <row r="864" spans="7:7" x14ac:dyDescent="0.35">
      <c r="G864" s="1"/>
    </row>
    <row r="865" spans="7:7" x14ac:dyDescent="0.35">
      <c r="G865" s="1"/>
    </row>
    <row r="866" spans="7:7" x14ac:dyDescent="0.35">
      <c r="G866" s="1"/>
    </row>
    <row r="867" spans="7:7" x14ac:dyDescent="0.35">
      <c r="G867" s="1"/>
    </row>
    <row r="868" spans="7:7" x14ac:dyDescent="0.35">
      <c r="G868" s="1"/>
    </row>
    <row r="869" spans="7:7" x14ac:dyDescent="0.35">
      <c r="G869" s="1"/>
    </row>
    <row r="870" spans="7:7" x14ac:dyDescent="0.35">
      <c r="G870" s="1"/>
    </row>
    <row r="871" spans="7:7" x14ac:dyDescent="0.35">
      <c r="G871" s="1"/>
    </row>
    <row r="872" spans="7:7" x14ac:dyDescent="0.35">
      <c r="G872" s="1"/>
    </row>
    <row r="873" spans="7:7" x14ac:dyDescent="0.35">
      <c r="G873" s="1"/>
    </row>
    <row r="874" spans="7:7" x14ac:dyDescent="0.35">
      <c r="G874" s="1"/>
    </row>
    <row r="875" spans="7:7" x14ac:dyDescent="0.35">
      <c r="G875" s="1"/>
    </row>
    <row r="876" spans="7:7" x14ac:dyDescent="0.35">
      <c r="G876" s="1"/>
    </row>
    <row r="877" spans="7:7" x14ac:dyDescent="0.35">
      <c r="G877" s="1"/>
    </row>
    <row r="878" spans="7:7" x14ac:dyDescent="0.35">
      <c r="G878" s="1"/>
    </row>
    <row r="879" spans="7:7" x14ac:dyDescent="0.35">
      <c r="G879" s="1"/>
    </row>
    <row r="880" spans="7:7" x14ac:dyDescent="0.35">
      <c r="G880" s="1"/>
    </row>
    <row r="881" spans="7:7" x14ac:dyDescent="0.35">
      <c r="G881" s="1"/>
    </row>
    <row r="882" spans="7:7" x14ac:dyDescent="0.35">
      <c r="G882" s="1"/>
    </row>
    <row r="883" spans="7:7" x14ac:dyDescent="0.35">
      <c r="G883" s="1"/>
    </row>
    <row r="884" spans="7:7" x14ac:dyDescent="0.35">
      <c r="G884" s="1"/>
    </row>
    <row r="885" spans="7:7" x14ac:dyDescent="0.35">
      <c r="G885" s="1"/>
    </row>
    <row r="886" spans="7:7" x14ac:dyDescent="0.35">
      <c r="G886" s="1"/>
    </row>
    <row r="887" spans="7:7" x14ac:dyDescent="0.35">
      <c r="G887" s="1"/>
    </row>
    <row r="888" spans="7:7" x14ac:dyDescent="0.35">
      <c r="G888" s="1"/>
    </row>
    <row r="889" spans="7:7" x14ac:dyDescent="0.35">
      <c r="G889" s="1"/>
    </row>
    <row r="890" spans="7:7" x14ac:dyDescent="0.35">
      <c r="G890" s="1"/>
    </row>
    <row r="891" spans="7:7" x14ac:dyDescent="0.35">
      <c r="G891" s="1"/>
    </row>
    <row r="892" spans="7:7" x14ac:dyDescent="0.35">
      <c r="G892" s="1"/>
    </row>
    <row r="893" spans="7:7" x14ac:dyDescent="0.35">
      <c r="G893" s="1"/>
    </row>
    <row r="894" spans="7:7" x14ac:dyDescent="0.35">
      <c r="G894" s="1"/>
    </row>
    <row r="895" spans="7:7" x14ac:dyDescent="0.35">
      <c r="G895" s="1"/>
    </row>
    <row r="896" spans="7:7" x14ac:dyDescent="0.35">
      <c r="G896" s="1"/>
    </row>
    <row r="897" spans="7:7" x14ac:dyDescent="0.35">
      <c r="G897" s="1"/>
    </row>
    <row r="898" spans="7:7" x14ac:dyDescent="0.35">
      <c r="G898" s="1"/>
    </row>
    <row r="899" spans="7:7" x14ac:dyDescent="0.35">
      <c r="G899" s="1"/>
    </row>
    <row r="900" spans="7:7" x14ac:dyDescent="0.35">
      <c r="G900" s="1"/>
    </row>
    <row r="901" spans="7:7" x14ac:dyDescent="0.35">
      <c r="G901" s="1"/>
    </row>
    <row r="902" spans="7:7" x14ac:dyDescent="0.35">
      <c r="G902" s="1"/>
    </row>
    <row r="903" spans="7:7" x14ac:dyDescent="0.35">
      <c r="G903" s="1"/>
    </row>
    <row r="904" spans="7:7" x14ac:dyDescent="0.35">
      <c r="G904" s="1"/>
    </row>
    <row r="905" spans="7:7" x14ac:dyDescent="0.35">
      <c r="G905" s="1"/>
    </row>
    <row r="906" spans="7:7" x14ac:dyDescent="0.35">
      <c r="G906" s="1"/>
    </row>
    <row r="907" spans="7:7" x14ac:dyDescent="0.35">
      <c r="G907" s="1"/>
    </row>
    <row r="908" spans="7:7" x14ac:dyDescent="0.35">
      <c r="G908" s="1"/>
    </row>
    <row r="909" spans="7:7" x14ac:dyDescent="0.35">
      <c r="G909" s="1"/>
    </row>
    <row r="910" spans="7:7" x14ac:dyDescent="0.35">
      <c r="G910" s="1"/>
    </row>
    <row r="911" spans="7:7" x14ac:dyDescent="0.35">
      <c r="G911" s="1"/>
    </row>
    <row r="912" spans="7:7" x14ac:dyDescent="0.35">
      <c r="G912" s="1"/>
    </row>
    <row r="913" spans="7:7" x14ac:dyDescent="0.35">
      <c r="G913" s="1"/>
    </row>
    <row r="914" spans="7:7" x14ac:dyDescent="0.35">
      <c r="G914" s="1"/>
    </row>
    <row r="915" spans="7:7" x14ac:dyDescent="0.35">
      <c r="G915" s="1"/>
    </row>
    <row r="916" spans="7:7" x14ac:dyDescent="0.35">
      <c r="G916" s="1"/>
    </row>
    <row r="917" spans="7:7" x14ac:dyDescent="0.35">
      <c r="G917" s="1"/>
    </row>
    <row r="918" spans="7:7" x14ac:dyDescent="0.35">
      <c r="G918" s="1"/>
    </row>
    <row r="919" spans="7:7" x14ac:dyDescent="0.35">
      <c r="G919" s="1"/>
    </row>
    <row r="920" spans="7:7" x14ac:dyDescent="0.35">
      <c r="G920" s="1"/>
    </row>
    <row r="921" spans="7:7" x14ac:dyDescent="0.35">
      <c r="G921" s="1"/>
    </row>
    <row r="922" spans="7:7" x14ac:dyDescent="0.35">
      <c r="G922" s="1"/>
    </row>
    <row r="923" spans="7:7" x14ac:dyDescent="0.35">
      <c r="G923" s="1"/>
    </row>
    <row r="924" spans="7:7" x14ac:dyDescent="0.35">
      <c r="G924" s="1"/>
    </row>
    <row r="925" spans="7:7" x14ac:dyDescent="0.35">
      <c r="G925" s="1"/>
    </row>
    <row r="926" spans="7:7" x14ac:dyDescent="0.35">
      <c r="G926" s="1"/>
    </row>
    <row r="927" spans="7:7" x14ac:dyDescent="0.35">
      <c r="G927" s="1"/>
    </row>
    <row r="928" spans="7:7" x14ac:dyDescent="0.35">
      <c r="G928" s="1"/>
    </row>
    <row r="929" spans="7:7" x14ac:dyDescent="0.35">
      <c r="G929" s="1"/>
    </row>
    <row r="930" spans="7:7" x14ac:dyDescent="0.35">
      <c r="G930" s="1"/>
    </row>
    <row r="931" spans="7:7" x14ac:dyDescent="0.35">
      <c r="G931" s="1"/>
    </row>
    <row r="932" spans="7:7" x14ac:dyDescent="0.35">
      <c r="G932" s="1"/>
    </row>
    <row r="933" spans="7:7" x14ac:dyDescent="0.35">
      <c r="G933" s="1"/>
    </row>
    <row r="934" spans="7:7" x14ac:dyDescent="0.35">
      <c r="G934" s="1"/>
    </row>
    <row r="935" spans="7:7" x14ac:dyDescent="0.35">
      <c r="G935" s="1"/>
    </row>
    <row r="936" spans="7:7" x14ac:dyDescent="0.35">
      <c r="G936" s="1"/>
    </row>
    <row r="937" spans="7:7" x14ac:dyDescent="0.35">
      <c r="G937" s="1"/>
    </row>
    <row r="938" spans="7:7" x14ac:dyDescent="0.35">
      <c r="G938" s="1"/>
    </row>
    <row r="939" spans="7:7" x14ac:dyDescent="0.35">
      <c r="G939" s="1"/>
    </row>
    <row r="940" spans="7:7" x14ac:dyDescent="0.35">
      <c r="G940" s="1"/>
    </row>
    <row r="941" spans="7:7" x14ac:dyDescent="0.35">
      <c r="G941" s="1"/>
    </row>
    <row r="942" spans="7:7" x14ac:dyDescent="0.35">
      <c r="G942" s="1"/>
    </row>
    <row r="943" spans="7:7" x14ac:dyDescent="0.35">
      <c r="G943" s="1"/>
    </row>
    <row r="944" spans="7:7" x14ac:dyDescent="0.35">
      <c r="G944" s="1"/>
    </row>
    <row r="945" spans="7:7" x14ac:dyDescent="0.35">
      <c r="G945" s="1"/>
    </row>
    <row r="946" spans="7:7" x14ac:dyDescent="0.35">
      <c r="G946" s="1"/>
    </row>
    <row r="947" spans="7:7" x14ac:dyDescent="0.35">
      <c r="G947" s="1"/>
    </row>
    <row r="948" spans="7:7" x14ac:dyDescent="0.35">
      <c r="G948" s="1"/>
    </row>
    <row r="949" spans="7:7" x14ac:dyDescent="0.35">
      <c r="G949" s="1"/>
    </row>
    <row r="950" spans="7:7" x14ac:dyDescent="0.35">
      <c r="G950" s="1"/>
    </row>
    <row r="951" spans="7:7" x14ac:dyDescent="0.35">
      <c r="G951" s="1"/>
    </row>
    <row r="952" spans="7:7" x14ac:dyDescent="0.35">
      <c r="G952" s="1"/>
    </row>
    <row r="953" spans="7:7" x14ac:dyDescent="0.35">
      <c r="G953" s="1"/>
    </row>
    <row r="954" spans="7:7" x14ac:dyDescent="0.35">
      <c r="G954" s="1"/>
    </row>
    <row r="955" spans="7:7" x14ac:dyDescent="0.35">
      <c r="G955" s="1"/>
    </row>
    <row r="956" spans="7:7" x14ac:dyDescent="0.35">
      <c r="G956" s="1"/>
    </row>
    <row r="957" spans="7:7" x14ac:dyDescent="0.35">
      <c r="G957" s="1"/>
    </row>
    <row r="958" spans="7:7" x14ac:dyDescent="0.35">
      <c r="G958" s="1"/>
    </row>
    <row r="959" spans="7:7" x14ac:dyDescent="0.35">
      <c r="G959" s="1"/>
    </row>
    <row r="960" spans="7:7" x14ac:dyDescent="0.35">
      <c r="G960" s="1"/>
    </row>
    <row r="961" spans="7:7" x14ac:dyDescent="0.35">
      <c r="G961" s="1"/>
    </row>
    <row r="962" spans="7:7" x14ac:dyDescent="0.35">
      <c r="G962" s="1"/>
    </row>
    <row r="963" spans="7:7" x14ac:dyDescent="0.35">
      <c r="G963" s="1"/>
    </row>
    <row r="964" spans="7:7" x14ac:dyDescent="0.35">
      <c r="G964" s="1"/>
    </row>
    <row r="965" spans="7:7" x14ac:dyDescent="0.35">
      <c r="G965" s="1"/>
    </row>
    <row r="966" spans="7:7" x14ac:dyDescent="0.35">
      <c r="G966" s="1"/>
    </row>
    <row r="967" spans="7:7" x14ac:dyDescent="0.35">
      <c r="G967" s="1"/>
    </row>
    <row r="968" spans="7:7" x14ac:dyDescent="0.35">
      <c r="G968" s="1"/>
    </row>
    <row r="969" spans="7:7" x14ac:dyDescent="0.35">
      <c r="G969" s="1"/>
    </row>
    <row r="970" spans="7:7" x14ac:dyDescent="0.35">
      <c r="G970" s="1"/>
    </row>
    <row r="971" spans="7:7" x14ac:dyDescent="0.35">
      <c r="G971" s="1"/>
    </row>
    <row r="972" spans="7:7" x14ac:dyDescent="0.35">
      <c r="G972" s="1"/>
    </row>
    <row r="973" spans="7:7" x14ac:dyDescent="0.35">
      <c r="G973" s="1"/>
    </row>
    <row r="974" spans="7:7" x14ac:dyDescent="0.35">
      <c r="G974" s="1"/>
    </row>
    <row r="975" spans="7:7" x14ac:dyDescent="0.35">
      <c r="G975" s="1"/>
    </row>
    <row r="976" spans="7:7" x14ac:dyDescent="0.35">
      <c r="G976" s="1"/>
    </row>
    <row r="977" spans="7:7" x14ac:dyDescent="0.35">
      <c r="G977" s="1"/>
    </row>
    <row r="978" spans="7:7" x14ac:dyDescent="0.35">
      <c r="G978" s="1"/>
    </row>
    <row r="979" spans="7:7" x14ac:dyDescent="0.35">
      <c r="G979" s="1"/>
    </row>
    <row r="980" spans="7:7" x14ac:dyDescent="0.35">
      <c r="G980" s="1"/>
    </row>
    <row r="981" spans="7:7" x14ac:dyDescent="0.35">
      <c r="G981" s="1"/>
    </row>
    <row r="982" spans="7:7" x14ac:dyDescent="0.35">
      <c r="G982" s="1"/>
    </row>
    <row r="983" spans="7:7" x14ac:dyDescent="0.35">
      <c r="G983" s="1"/>
    </row>
    <row r="984" spans="7:7" x14ac:dyDescent="0.35">
      <c r="G984" s="1"/>
    </row>
    <row r="985" spans="7:7" x14ac:dyDescent="0.35">
      <c r="G985" s="1"/>
    </row>
    <row r="986" spans="7:7" x14ac:dyDescent="0.35">
      <c r="G986" s="1"/>
    </row>
    <row r="987" spans="7:7" x14ac:dyDescent="0.35">
      <c r="G987" s="1"/>
    </row>
    <row r="988" spans="7:7" x14ac:dyDescent="0.35">
      <c r="G988" s="1"/>
    </row>
    <row r="989" spans="7:7" x14ac:dyDescent="0.35">
      <c r="G989" s="1"/>
    </row>
    <row r="990" spans="7:7" x14ac:dyDescent="0.35">
      <c r="G990" s="1"/>
    </row>
    <row r="991" spans="7:7" x14ac:dyDescent="0.35">
      <c r="G991" s="1"/>
    </row>
    <row r="992" spans="7:7" x14ac:dyDescent="0.35">
      <c r="G992" s="1"/>
    </row>
    <row r="993" spans="7:7" x14ac:dyDescent="0.35">
      <c r="G993" s="1"/>
    </row>
    <row r="994" spans="7:7" x14ac:dyDescent="0.35">
      <c r="G994" s="1"/>
    </row>
    <row r="995" spans="7:7" x14ac:dyDescent="0.35">
      <c r="G995" s="1"/>
    </row>
    <row r="996" spans="7:7" x14ac:dyDescent="0.35">
      <c r="G996" s="1"/>
    </row>
    <row r="997" spans="7:7" x14ac:dyDescent="0.35">
      <c r="G997" s="1"/>
    </row>
    <row r="998" spans="7:7" x14ac:dyDescent="0.35">
      <c r="G998" s="1"/>
    </row>
    <row r="999" spans="7:7" x14ac:dyDescent="0.35">
      <c r="G999" s="1"/>
    </row>
    <row r="1000" spans="7:7" x14ac:dyDescent="0.35">
      <c r="G1000" s="1"/>
    </row>
    <row r="1001" spans="7:7" x14ac:dyDescent="0.35">
      <c r="G1001" s="1"/>
    </row>
    <row r="1002" spans="7:7" x14ac:dyDescent="0.35">
      <c r="G1002" s="1"/>
    </row>
    <row r="1003" spans="7:7" x14ac:dyDescent="0.35">
      <c r="G1003" s="1"/>
    </row>
    <row r="1004" spans="7:7" x14ac:dyDescent="0.35">
      <c r="G1004" s="1"/>
    </row>
    <row r="1005" spans="7:7" x14ac:dyDescent="0.35">
      <c r="G1005" s="1"/>
    </row>
    <row r="1006" spans="7:7" x14ac:dyDescent="0.35">
      <c r="G1006" s="1"/>
    </row>
    <row r="1007" spans="7:7" x14ac:dyDescent="0.35">
      <c r="G1007" s="1"/>
    </row>
    <row r="1008" spans="7:7" x14ac:dyDescent="0.35">
      <c r="G1008" s="1"/>
    </row>
    <row r="1009" spans="7:7" x14ac:dyDescent="0.35">
      <c r="G1009" s="1"/>
    </row>
    <row r="1010" spans="7:7" x14ac:dyDescent="0.35">
      <c r="G1010" s="1"/>
    </row>
    <row r="1011" spans="7:7" x14ac:dyDescent="0.35">
      <c r="G1011" s="1"/>
    </row>
    <row r="1012" spans="7:7" x14ac:dyDescent="0.35">
      <c r="G1012" s="1"/>
    </row>
    <row r="1013" spans="7:7" x14ac:dyDescent="0.35">
      <c r="G1013" s="1"/>
    </row>
    <row r="1014" spans="7:7" x14ac:dyDescent="0.35">
      <c r="G1014" s="1"/>
    </row>
    <row r="1015" spans="7:7" x14ac:dyDescent="0.35">
      <c r="G1015" s="1"/>
    </row>
    <row r="1016" spans="7:7" x14ac:dyDescent="0.35">
      <c r="G1016" s="1"/>
    </row>
    <row r="1017" spans="7:7" x14ac:dyDescent="0.35">
      <c r="G1017" s="1"/>
    </row>
    <row r="1018" spans="7:7" x14ac:dyDescent="0.35">
      <c r="G1018" s="1"/>
    </row>
    <row r="1019" spans="7:7" x14ac:dyDescent="0.35">
      <c r="G1019" s="1"/>
    </row>
    <row r="1020" spans="7:7" x14ac:dyDescent="0.35">
      <c r="G1020" s="1"/>
    </row>
    <row r="1021" spans="7:7" x14ac:dyDescent="0.35">
      <c r="G1021" s="1"/>
    </row>
    <row r="1022" spans="7:7" x14ac:dyDescent="0.35">
      <c r="G1022" s="1"/>
    </row>
    <row r="1023" spans="7:7" x14ac:dyDescent="0.35">
      <c r="G1023" s="1"/>
    </row>
    <row r="1024" spans="7:7" x14ac:dyDescent="0.35">
      <c r="G1024" s="1"/>
    </row>
    <row r="1025" spans="7:7" x14ac:dyDescent="0.35">
      <c r="G1025" s="1"/>
    </row>
    <row r="1026" spans="7:7" x14ac:dyDescent="0.35">
      <c r="G1026" s="1"/>
    </row>
    <row r="1027" spans="7:7" x14ac:dyDescent="0.35">
      <c r="G1027" s="1"/>
    </row>
    <row r="1028" spans="7:7" x14ac:dyDescent="0.35">
      <c r="G1028" s="1"/>
    </row>
    <row r="1029" spans="7:7" x14ac:dyDescent="0.35">
      <c r="G1029" s="1"/>
    </row>
    <row r="1030" spans="7:7" x14ac:dyDescent="0.35">
      <c r="G1030" s="1"/>
    </row>
    <row r="1031" spans="7:7" x14ac:dyDescent="0.35">
      <c r="G1031" s="1"/>
    </row>
    <row r="1032" spans="7:7" x14ac:dyDescent="0.35">
      <c r="G1032" s="1"/>
    </row>
    <row r="1033" spans="7:7" x14ac:dyDescent="0.35">
      <c r="G1033" s="1"/>
    </row>
    <row r="1034" spans="7:7" x14ac:dyDescent="0.35">
      <c r="G1034" s="1"/>
    </row>
    <row r="1035" spans="7:7" x14ac:dyDescent="0.35">
      <c r="G1035" s="1"/>
    </row>
    <row r="1036" spans="7:7" x14ac:dyDescent="0.35">
      <c r="G1036" s="1"/>
    </row>
    <row r="1037" spans="7:7" x14ac:dyDescent="0.35">
      <c r="G1037" s="1"/>
    </row>
    <row r="1038" spans="7:7" x14ac:dyDescent="0.35">
      <c r="G1038" s="1"/>
    </row>
    <row r="1039" spans="7:7" x14ac:dyDescent="0.35">
      <c r="G1039" s="1"/>
    </row>
    <row r="1040" spans="7:7" x14ac:dyDescent="0.35">
      <c r="G1040" s="1"/>
    </row>
    <row r="1041" spans="7:7" x14ac:dyDescent="0.35">
      <c r="G1041" s="1"/>
    </row>
    <row r="1042" spans="7:7" x14ac:dyDescent="0.35">
      <c r="G1042" s="1"/>
    </row>
    <row r="1043" spans="7:7" x14ac:dyDescent="0.35">
      <c r="G1043" s="1"/>
    </row>
    <row r="1044" spans="7:7" x14ac:dyDescent="0.35">
      <c r="G1044" s="1"/>
    </row>
    <row r="1045" spans="7:7" x14ac:dyDescent="0.35">
      <c r="G1045" s="1"/>
    </row>
    <row r="1046" spans="7:7" x14ac:dyDescent="0.35">
      <c r="G1046" s="1"/>
    </row>
    <row r="1047" spans="7:7" x14ac:dyDescent="0.35">
      <c r="G1047" s="1"/>
    </row>
    <row r="1048" spans="7:7" x14ac:dyDescent="0.35">
      <c r="G1048" s="1"/>
    </row>
    <row r="1049" spans="7:7" x14ac:dyDescent="0.35">
      <c r="G1049" s="1"/>
    </row>
    <row r="1050" spans="7:7" x14ac:dyDescent="0.35">
      <c r="G1050" s="1"/>
    </row>
    <row r="1051" spans="7:7" x14ac:dyDescent="0.35">
      <c r="G1051" s="1"/>
    </row>
    <row r="1052" spans="7:7" x14ac:dyDescent="0.35">
      <c r="G1052" s="1"/>
    </row>
    <row r="1053" spans="7:7" x14ac:dyDescent="0.35">
      <c r="G1053" s="1"/>
    </row>
    <row r="1054" spans="7:7" x14ac:dyDescent="0.35">
      <c r="G1054" s="1"/>
    </row>
    <row r="1055" spans="7:7" x14ac:dyDescent="0.35">
      <c r="G1055" s="1"/>
    </row>
    <row r="1056" spans="7:7" x14ac:dyDescent="0.35">
      <c r="G1056" s="1"/>
    </row>
    <row r="1057" spans="7:7" x14ac:dyDescent="0.35">
      <c r="G1057" s="1"/>
    </row>
    <row r="1058" spans="7:7" x14ac:dyDescent="0.35">
      <c r="G1058" s="1"/>
    </row>
    <row r="1059" spans="7:7" x14ac:dyDescent="0.35">
      <c r="G1059" s="1"/>
    </row>
    <row r="1060" spans="7:7" x14ac:dyDescent="0.35">
      <c r="G1060" s="1"/>
    </row>
    <row r="1061" spans="7:7" x14ac:dyDescent="0.35">
      <c r="G1061" s="1"/>
    </row>
    <row r="1062" spans="7:7" x14ac:dyDescent="0.35">
      <c r="G1062" s="1"/>
    </row>
    <row r="1063" spans="7:7" x14ac:dyDescent="0.35">
      <c r="G1063" s="1"/>
    </row>
    <row r="1064" spans="7:7" x14ac:dyDescent="0.35">
      <c r="G1064" s="1"/>
    </row>
    <row r="1065" spans="7:7" x14ac:dyDescent="0.35">
      <c r="G1065" s="1"/>
    </row>
    <row r="1066" spans="7:7" x14ac:dyDescent="0.35">
      <c r="G1066" s="1"/>
    </row>
    <row r="1067" spans="7:7" x14ac:dyDescent="0.35">
      <c r="G1067" s="1"/>
    </row>
    <row r="1068" spans="7:7" x14ac:dyDescent="0.35">
      <c r="G1068" s="1"/>
    </row>
    <row r="1069" spans="7:7" x14ac:dyDescent="0.35">
      <c r="G1069" s="1"/>
    </row>
    <row r="1070" spans="7:7" x14ac:dyDescent="0.35">
      <c r="G1070" s="1"/>
    </row>
    <row r="1071" spans="7:7" x14ac:dyDescent="0.35">
      <c r="G1071" s="1"/>
    </row>
    <row r="1072" spans="7:7" x14ac:dyDescent="0.35">
      <c r="G1072" s="1"/>
    </row>
    <row r="1073" spans="7:7" x14ac:dyDescent="0.35">
      <c r="G1073" s="1"/>
    </row>
    <row r="1074" spans="7:7" x14ac:dyDescent="0.35">
      <c r="G1074" s="1"/>
    </row>
    <row r="1075" spans="7:7" x14ac:dyDescent="0.35">
      <c r="G1075" s="1"/>
    </row>
    <row r="1076" spans="7:7" x14ac:dyDescent="0.35">
      <c r="G1076" s="1"/>
    </row>
    <row r="1077" spans="7:7" x14ac:dyDescent="0.35">
      <c r="G1077" s="1"/>
    </row>
    <row r="1078" spans="7:7" x14ac:dyDescent="0.35">
      <c r="G1078" s="1"/>
    </row>
    <row r="1079" spans="7:7" x14ac:dyDescent="0.35">
      <c r="G1079" s="1"/>
    </row>
    <row r="1080" spans="7:7" x14ac:dyDescent="0.35">
      <c r="G1080" s="1"/>
    </row>
    <row r="1081" spans="7:7" x14ac:dyDescent="0.35">
      <c r="G1081" s="1"/>
    </row>
    <row r="1082" spans="7:7" x14ac:dyDescent="0.35">
      <c r="G1082" s="1"/>
    </row>
    <row r="1083" spans="7:7" x14ac:dyDescent="0.35">
      <c r="G1083" s="1"/>
    </row>
    <row r="1084" spans="7:7" x14ac:dyDescent="0.35">
      <c r="G1084" s="1"/>
    </row>
    <row r="1085" spans="7:7" x14ac:dyDescent="0.35">
      <c r="G1085" s="1"/>
    </row>
    <row r="1086" spans="7:7" x14ac:dyDescent="0.35">
      <c r="G1086" s="1"/>
    </row>
    <row r="1087" spans="7:7" x14ac:dyDescent="0.35">
      <c r="G1087" s="1"/>
    </row>
    <row r="1088" spans="7:7" x14ac:dyDescent="0.35">
      <c r="G1088" s="1"/>
    </row>
    <row r="1089" spans="7:7" x14ac:dyDescent="0.35">
      <c r="G1089" s="1"/>
    </row>
    <row r="1090" spans="7:7" x14ac:dyDescent="0.35">
      <c r="G1090" s="1"/>
    </row>
    <row r="1091" spans="7:7" x14ac:dyDescent="0.35">
      <c r="G1091" s="1"/>
    </row>
    <row r="1092" spans="7:7" x14ac:dyDescent="0.35">
      <c r="G1092" s="1"/>
    </row>
    <row r="1093" spans="7:7" x14ac:dyDescent="0.35">
      <c r="G1093" s="1"/>
    </row>
    <row r="1094" spans="7:7" x14ac:dyDescent="0.35">
      <c r="G1094" s="1"/>
    </row>
    <row r="1095" spans="7:7" x14ac:dyDescent="0.35">
      <c r="G1095" s="1"/>
    </row>
    <row r="1096" spans="7:7" x14ac:dyDescent="0.35">
      <c r="G1096" s="1"/>
    </row>
    <row r="1097" spans="7:7" x14ac:dyDescent="0.35">
      <c r="G1097" s="1"/>
    </row>
    <row r="1098" spans="7:7" x14ac:dyDescent="0.35">
      <c r="G1098" s="1"/>
    </row>
    <row r="1099" spans="7:7" x14ac:dyDescent="0.35">
      <c r="G1099" s="1"/>
    </row>
    <row r="1100" spans="7:7" x14ac:dyDescent="0.35">
      <c r="G1100" s="1"/>
    </row>
    <row r="1101" spans="7:7" x14ac:dyDescent="0.35">
      <c r="G1101" s="1"/>
    </row>
    <row r="1102" spans="7:7" x14ac:dyDescent="0.35">
      <c r="G1102" s="1"/>
    </row>
    <row r="1103" spans="7:7" x14ac:dyDescent="0.35">
      <c r="G1103" s="1"/>
    </row>
    <row r="1104" spans="7:7" x14ac:dyDescent="0.35">
      <c r="G1104" s="1"/>
    </row>
    <row r="1105" spans="7:7" x14ac:dyDescent="0.35">
      <c r="G1105" s="1"/>
    </row>
    <row r="1106" spans="7:7" x14ac:dyDescent="0.35">
      <c r="G1106" s="1"/>
    </row>
    <row r="1107" spans="7:7" x14ac:dyDescent="0.35">
      <c r="G1107" s="1"/>
    </row>
    <row r="1108" spans="7:7" x14ac:dyDescent="0.35">
      <c r="G1108" s="1"/>
    </row>
    <row r="1109" spans="7:7" x14ac:dyDescent="0.35">
      <c r="G1109" s="1"/>
    </row>
    <row r="1110" spans="7:7" x14ac:dyDescent="0.35">
      <c r="G1110" s="1"/>
    </row>
    <row r="1111" spans="7:7" x14ac:dyDescent="0.35">
      <c r="G1111" s="1"/>
    </row>
    <row r="1112" spans="7:7" x14ac:dyDescent="0.35">
      <c r="G1112" s="1"/>
    </row>
    <row r="1113" spans="7:7" x14ac:dyDescent="0.35">
      <c r="G1113" s="1"/>
    </row>
    <row r="1114" spans="7:7" x14ac:dyDescent="0.35">
      <c r="G1114" s="1"/>
    </row>
    <row r="1115" spans="7:7" x14ac:dyDescent="0.35">
      <c r="G1115" s="1"/>
    </row>
    <row r="1116" spans="7:7" x14ac:dyDescent="0.35">
      <c r="G1116" s="1"/>
    </row>
    <row r="1117" spans="7:7" x14ac:dyDescent="0.35">
      <c r="G1117" s="1"/>
    </row>
    <row r="1118" spans="7:7" x14ac:dyDescent="0.35">
      <c r="G1118" s="1"/>
    </row>
    <row r="1119" spans="7:7" x14ac:dyDescent="0.35">
      <c r="G1119" s="1"/>
    </row>
    <row r="1120" spans="7:7" x14ac:dyDescent="0.35">
      <c r="G1120" s="1"/>
    </row>
    <row r="1121" spans="7:7" x14ac:dyDescent="0.35">
      <c r="G1121" s="1"/>
    </row>
    <row r="1122" spans="7:7" x14ac:dyDescent="0.35">
      <c r="G1122" s="1"/>
    </row>
    <row r="1123" spans="7:7" x14ac:dyDescent="0.35">
      <c r="G1123" s="1"/>
    </row>
    <row r="1124" spans="7:7" x14ac:dyDescent="0.35">
      <c r="G1124" s="1"/>
    </row>
    <row r="1125" spans="7:7" x14ac:dyDescent="0.35">
      <c r="G1125" s="1"/>
    </row>
    <row r="1126" spans="7:7" x14ac:dyDescent="0.35">
      <c r="G1126" s="1"/>
    </row>
    <row r="1127" spans="7:7" x14ac:dyDescent="0.35">
      <c r="G1127" s="1"/>
    </row>
    <row r="1128" spans="7:7" x14ac:dyDescent="0.35">
      <c r="G1128" s="1"/>
    </row>
    <row r="1129" spans="7:7" x14ac:dyDescent="0.35">
      <c r="G1129" s="1"/>
    </row>
    <row r="1130" spans="7:7" x14ac:dyDescent="0.35">
      <c r="G1130" s="1"/>
    </row>
    <row r="1131" spans="7:7" x14ac:dyDescent="0.35">
      <c r="G1131" s="1"/>
    </row>
    <row r="1132" spans="7:7" x14ac:dyDescent="0.35">
      <c r="G1132" s="1"/>
    </row>
    <row r="1133" spans="7:7" x14ac:dyDescent="0.35">
      <c r="G1133" s="1"/>
    </row>
    <row r="1134" spans="7:7" x14ac:dyDescent="0.35">
      <c r="G1134" s="1"/>
    </row>
    <row r="1135" spans="7:7" x14ac:dyDescent="0.35">
      <c r="G1135" s="1"/>
    </row>
    <row r="1136" spans="7:7" x14ac:dyDescent="0.35">
      <c r="G1136" s="1"/>
    </row>
    <row r="1137" spans="7:7" x14ac:dyDescent="0.35">
      <c r="G1137" s="1"/>
    </row>
    <row r="1138" spans="7:7" x14ac:dyDescent="0.35">
      <c r="G1138" s="1"/>
    </row>
    <row r="1139" spans="7:7" x14ac:dyDescent="0.35">
      <c r="G1139" s="1"/>
    </row>
    <row r="1140" spans="7:7" x14ac:dyDescent="0.35">
      <c r="G1140" s="1"/>
    </row>
    <row r="1141" spans="7:7" x14ac:dyDescent="0.35">
      <c r="G1141" s="1"/>
    </row>
    <row r="1142" spans="7:7" x14ac:dyDescent="0.35">
      <c r="G1142" s="1"/>
    </row>
    <row r="1143" spans="7:7" x14ac:dyDescent="0.35">
      <c r="G1143" s="1"/>
    </row>
    <row r="1144" spans="7:7" x14ac:dyDescent="0.35">
      <c r="G1144" s="1"/>
    </row>
    <row r="1145" spans="7:7" x14ac:dyDescent="0.35">
      <c r="G1145" s="1"/>
    </row>
    <row r="1146" spans="7:7" x14ac:dyDescent="0.35">
      <c r="G1146" s="1"/>
    </row>
    <row r="1147" spans="7:7" x14ac:dyDescent="0.35">
      <c r="G1147" s="1"/>
    </row>
    <row r="1148" spans="7:7" x14ac:dyDescent="0.35">
      <c r="G1148" s="1"/>
    </row>
    <row r="1149" spans="7:7" x14ac:dyDescent="0.35">
      <c r="G1149" s="1"/>
    </row>
    <row r="1150" spans="7:7" x14ac:dyDescent="0.35">
      <c r="G1150" s="1"/>
    </row>
    <row r="1151" spans="7:7" x14ac:dyDescent="0.35">
      <c r="G1151" s="1"/>
    </row>
    <row r="1152" spans="7:7" x14ac:dyDescent="0.35">
      <c r="G1152" s="1"/>
    </row>
    <row r="1153" spans="7:7" x14ac:dyDescent="0.35">
      <c r="G1153" s="1"/>
    </row>
    <row r="1154" spans="7:7" x14ac:dyDescent="0.35">
      <c r="G1154" s="1"/>
    </row>
    <row r="1155" spans="7:7" x14ac:dyDescent="0.35">
      <c r="G1155" s="1"/>
    </row>
    <row r="1156" spans="7:7" x14ac:dyDescent="0.35">
      <c r="G1156" s="1"/>
    </row>
    <row r="1157" spans="7:7" x14ac:dyDescent="0.35">
      <c r="G1157" s="1"/>
    </row>
    <row r="1158" spans="7:7" x14ac:dyDescent="0.35">
      <c r="G1158" s="1"/>
    </row>
    <row r="1159" spans="7:7" x14ac:dyDescent="0.35">
      <c r="G1159" s="1"/>
    </row>
    <row r="1160" spans="7:7" x14ac:dyDescent="0.35">
      <c r="G1160" s="1"/>
    </row>
    <row r="1161" spans="7:7" x14ac:dyDescent="0.35">
      <c r="G1161" s="1"/>
    </row>
    <row r="1162" spans="7:7" x14ac:dyDescent="0.35">
      <c r="G1162" s="1"/>
    </row>
    <row r="1163" spans="7:7" x14ac:dyDescent="0.35">
      <c r="G1163" s="1"/>
    </row>
    <row r="1164" spans="7:7" x14ac:dyDescent="0.35">
      <c r="G1164" s="1"/>
    </row>
    <row r="1165" spans="7:7" x14ac:dyDescent="0.35">
      <c r="G1165" s="1"/>
    </row>
    <row r="1166" spans="7:7" x14ac:dyDescent="0.35">
      <c r="G1166" s="1"/>
    </row>
    <row r="1167" spans="7:7" x14ac:dyDescent="0.35">
      <c r="G1167" s="1"/>
    </row>
    <row r="1168" spans="7:7" x14ac:dyDescent="0.35">
      <c r="G1168" s="1"/>
    </row>
    <row r="1169" spans="7:7" x14ac:dyDescent="0.35">
      <c r="G1169" s="1"/>
    </row>
    <row r="1170" spans="7:7" x14ac:dyDescent="0.35">
      <c r="G1170" s="1"/>
    </row>
    <row r="1171" spans="7:7" x14ac:dyDescent="0.35">
      <c r="G1171" s="1"/>
    </row>
    <row r="1172" spans="7:7" x14ac:dyDescent="0.35">
      <c r="G1172" s="1"/>
    </row>
    <row r="1173" spans="7:7" x14ac:dyDescent="0.35">
      <c r="G1173" s="1"/>
    </row>
    <row r="1174" spans="7:7" x14ac:dyDescent="0.35">
      <c r="G1174" s="1"/>
    </row>
    <row r="1175" spans="7:7" x14ac:dyDescent="0.35">
      <c r="G1175" s="1"/>
    </row>
    <row r="1176" spans="7:7" x14ac:dyDescent="0.35">
      <c r="G1176" s="1"/>
    </row>
    <row r="1177" spans="7:7" x14ac:dyDescent="0.35">
      <c r="G1177" s="1"/>
    </row>
    <row r="1178" spans="7:7" x14ac:dyDescent="0.35">
      <c r="G1178" s="1"/>
    </row>
    <row r="1179" spans="7:7" x14ac:dyDescent="0.35">
      <c r="G1179" s="1"/>
    </row>
    <row r="1180" spans="7:7" x14ac:dyDescent="0.35">
      <c r="G1180" s="1"/>
    </row>
    <row r="1181" spans="7:7" x14ac:dyDescent="0.35">
      <c r="G1181" s="1"/>
    </row>
    <row r="1182" spans="7:7" x14ac:dyDescent="0.35">
      <c r="G1182" s="1"/>
    </row>
    <row r="1183" spans="7:7" x14ac:dyDescent="0.35">
      <c r="G1183" s="1"/>
    </row>
    <row r="1184" spans="7:7" x14ac:dyDescent="0.35">
      <c r="G1184" s="1"/>
    </row>
    <row r="1185" spans="7:7" x14ac:dyDescent="0.35">
      <c r="G1185" s="1"/>
    </row>
    <row r="1186" spans="7:7" x14ac:dyDescent="0.35">
      <c r="G1186" s="1"/>
    </row>
    <row r="1187" spans="7:7" x14ac:dyDescent="0.35">
      <c r="G1187" s="1"/>
    </row>
    <row r="1188" spans="7:7" x14ac:dyDescent="0.35">
      <c r="G1188" s="1"/>
    </row>
    <row r="1189" spans="7:7" x14ac:dyDescent="0.35">
      <c r="G1189" s="1"/>
    </row>
    <row r="1190" spans="7:7" x14ac:dyDescent="0.35">
      <c r="G1190" s="1"/>
    </row>
    <row r="1191" spans="7:7" x14ac:dyDescent="0.35">
      <c r="G1191" s="1"/>
    </row>
    <row r="1192" spans="7:7" x14ac:dyDescent="0.35">
      <c r="G1192" s="1"/>
    </row>
    <row r="1193" spans="7:7" x14ac:dyDescent="0.35">
      <c r="G1193" s="1"/>
    </row>
    <row r="1194" spans="7:7" x14ac:dyDescent="0.35">
      <c r="G1194" s="1"/>
    </row>
    <row r="1195" spans="7:7" x14ac:dyDescent="0.35">
      <c r="G1195" s="1"/>
    </row>
    <row r="1196" spans="7:7" x14ac:dyDescent="0.35">
      <c r="G1196" s="1"/>
    </row>
    <row r="1197" spans="7:7" x14ac:dyDescent="0.35">
      <c r="G1197" s="1"/>
    </row>
    <row r="1198" spans="7:7" x14ac:dyDescent="0.35">
      <c r="G1198" s="1"/>
    </row>
    <row r="1199" spans="7:7" x14ac:dyDescent="0.35">
      <c r="G1199" s="1"/>
    </row>
    <row r="1200" spans="7:7" x14ac:dyDescent="0.35">
      <c r="G1200" s="1"/>
    </row>
    <row r="1201" spans="7:7" x14ac:dyDescent="0.35">
      <c r="G1201" s="1"/>
    </row>
    <row r="1202" spans="7:7" x14ac:dyDescent="0.35">
      <c r="G1202" s="1"/>
    </row>
    <row r="1203" spans="7:7" x14ac:dyDescent="0.35">
      <c r="G1203" s="1"/>
    </row>
    <row r="1204" spans="7:7" x14ac:dyDescent="0.35">
      <c r="G1204" s="1"/>
    </row>
    <row r="1205" spans="7:7" x14ac:dyDescent="0.35">
      <c r="G1205" s="1"/>
    </row>
    <row r="1206" spans="7:7" x14ac:dyDescent="0.35">
      <c r="G1206" s="1"/>
    </row>
    <row r="1207" spans="7:7" x14ac:dyDescent="0.35">
      <c r="G1207" s="1"/>
    </row>
    <row r="1208" spans="7:7" x14ac:dyDescent="0.35">
      <c r="G1208" s="1"/>
    </row>
    <row r="1209" spans="7:7" x14ac:dyDescent="0.35">
      <c r="G1209" s="1"/>
    </row>
    <row r="1210" spans="7:7" x14ac:dyDescent="0.35">
      <c r="G1210" s="1"/>
    </row>
    <row r="1211" spans="7:7" x14ac:dyDescent="0.35">
      <c r="G1211" s="1"/>
    </row>
    <row r="1212" spans="7:7" x14ac:dyDescent="0.35">
      <c r="G1212" s="1"/>
    </row>
    <row r="1213" spans="7:7" x14ac:dyDescent="0.35">
      <c r="G1213" s="1"/>
    </row>
    <row r="1214" spans="7:7" x14ac:dyDescent="0.35">
      <c r="G1214" s="1"/>
    </row>
    <row r="1215" spans="7:7" x14ac:dyDescent="0.35">
      <c r="G1215" s="1"/>
    </row>
    <row r="1216" spans="7:7" x14ac:dyDescent="0.35">
      <c r="G1216" s="1"/>
    </row>
    <row r="1217" spans="7:7" x14ac:dyDescent="0.35">
      <c r="G1217" s="1"/>
    </row>
    <row r="1218" spans="7:7" x14ac:dyDescent="0.35">
      <c r="G1218" s="1"/>
    </row>
    <row r="1219" spans="7:7" x14ac:dyDescent="0.35">
      <c r="G1219" s="1"/>
    </row>
    <row r="1220" spans="7:7" x14ac:dyDescent="0.35">
      <c r="G1220" s="1"/>
    </row>
    <row r="1221" spans="7:7" x14ac:dyDescent="0.35">
      <c r="G1221" s="1"/>
    </row>
    <row r="1222" spans="7:7" x14ac:dyDescent="0.35">
      <c r="G1222" s="1"/>
    </row>
    <row r="1223" spans="7:7" x14ac:dyDescent="0.35">
      <c r="G1223" s="1"/>
    </row>
    <row r="1224" spans="7:7" x14ac:dyDescent="0.35">
      <c r="G1224" s="1"/>
    </row>
    <row r="1225" spans="7:7" x14ac:dyDescent="0.35">
      <c r="G1225" s="1"/>
    </row>
    <row r="1226" spans="7:7" x14ac:dyDescent="0.35">
      <c r="G1226" s="1"/>
    </row>
    <row r="1227" spans="7:7" x14ac:dyDescent="0.35">
      <c r="G1227" s="1"/>
    </row>
    <row r="1228" spans="7:7" x14ac:dyDescent="0.35">
      <c r="G1228" s="1"/>
    </row>
    <row r="1229" spans="7:7" x14ac:dyDescent="0.35">
      <c r="G1229" s="1"/>
    </row>
    <row r="1230" spans="7:7" x14ac:dyDescent="0.35">
      <c r="G1230" s="1"/>
    </row>
    <row r="1231" spans="7:7" x14ac:dyDescent="0.35">
      <c r="G1231" s="1"/>
    </row>
    <row r="1232" spans="7:7" x14ac:dyDescent="0.35">
      <c r="G1232" s="1"/>
    </row>
    <row r="1233" spans="7:7" x14ac:dyDescent="0.35">
      <c r="G1233" s="1"/>
    </row>
    <row r="1234" spans="7:7" x14ac:dyDescent="0.35">
      <c r="G1234" s="1"/>
    </row>
    <row r="1235" spans="7:7" x14ac:dyDescent="0.35">
      <c r="G1235" s="1"/>
    </row>
    <row r="1236" spans="7:7" x14ac:dyDescent="0.35">
      <c r="G1236" s="1"/>
    </row>
    <row r="1237" spans="7:7" x14ac:dyDescent="0.35">
      <c r="G1237" s="1"/>
    </row>
    <row r="1238" spans="7:7" x14ac:dyDescent="0.35">
      <c r="G1238" s="1"/>
    </row>
    <row r="1239" spans="7:7" x14ac:dyDescent="0.35">
      <c r="G1239" s="1"/>
    </row>
    <row r="1240" spans="7:7" x14ac:dyDescent="0.35">
      <c r="G1240" s="1"/>
    </row>
    <row r="1241" spans="7:7" x14ac:dyDescent="0.35">
      <c r="G1241" s="1"/>
    </row>
    <row r="1242" spans="7:7" x14ac:dyDescent="0.35">
      <c r="G1242" s="1"/>
    </row>
    <row r="1243" spans="7:7" x14ac:dyDescent="0.35">
      <c r="G1243" s="1"/>
    </row>
    <row r="1244" spans="7:7" x14ac:dyDescent="0.35">
      <c r="G1244" s="1"/>
    </row>
    <row r="1245" spans="7:7" x14ac:dyDescent="0.35">
      <c r="G1245" s="1"/>
    </row>
    <row r="1246" spans="7:7" x14ac:dyDescent="0.35">
      <c r="G1246" s="1"/>
    </row>
    <row r="1247" spans="7:7" x14ac:dyDescent="0.35">
      <c r="G1247" s="1"/>
    </row>
    <row r="1248" spans="7:7" x14ac:dyDescent="0.35">
      <c r="G1248" s="1"/>
    </row>
    <row r="1249" spans="7:7" x14ac:dyDescent="0.35">
      <c r="G1249" s="1"/>
    </row>
    <row r="1250" spans="7:7" x14ac:dyDescent="0.35">
      <c r="G1250" s="1"/>
    </row>
    <row r="1251" spans="7:7" x14ac:dyDescent="0.35">
      <c r="G1251" s="1"/>
    </row>
    <row r="1252" spans="7:7" x14ac:dyDescent="0.35">
      <c r="G1252" s="1"/>
    </row>
    <row r="1253" spans="7:7" x14ac:dyDescent="0.35">
      <c r="G1253" s="1"/>
    </row>
    <row r="1254" spans="7:7" x14ac:dyDescent="0.35">
      <c r="G1254" s="1"/>
    </row>
    <row r="1255" spans="7:7" x14ac:dyDescent="0.35">
      <c r="G1255" s="1"/>
    </row>
    <row r="1256" spans="7:7" x14ac:dyDescent="0.35">
      <c r="G1256" s="1"/>
    </row>
    <row r="1257" spans="7:7" x14ac:dyDescent="0.35">
      <c r="G1257" s="1"/>
    </row>
    <row r="1258" spans="7:7" x14ac:dyDescent="0.35">
      <c r="G1258" s="1"/>
    </row>
    <row r="1259" spans="7:7" x14ac:dyDescent="0.35">
      <c r="G1259" s="1"/>
    </row>
    <row r="1260" spans="7:7" x14ac:dyDescent="0.35">
      <c r="G1260" s="1"/>
    </row>
    <row r="1261" spans="7:7" x14ac:dyDescent="0.35">
      <c r="G1261" s="1"/>
    </row>
    <row r="1262" spans="7:7" x14ac:dyDescent="0.35">
      <c r="G1262" s="1"/>
    </row>
    <row r="1263" spans="7:7" x14ac:dyDescent="0.35">
      <c r="G1263" s="1"/>
    </row>
    <row r="1264" spans="7:7" x14ac:dyDescent="0.35">
      <c r="G1264" s="1"/>
    </row>
    <row r="1265" spans="7:7" x14ac:dyDescent="0.35">
      <c r="G1265" s="1"/>
    </row>
    <row r="1266" spans="7:7" x14ac:dyDescent="0.35">
      <c r="G1266" s="1"/>
    </row>
    <row r="1267" spans="7:7" x14ac:dyDescent="0.35">
      <c r="G1267" s="1"/>
    </row>
    <row r="1268" spans="7:7" x14ac:dyDescent="0.35">
      <c r="G1268" s="1"/>
    </row>
    <row r="1269" spans="7:7" x14ac:dyDescent="0.35">
      <c r="G1269" s="1"/>
    </row>
    <row r="1270" spans="7:7" x14ac:dyDescent="0.35">
      <c r="G1270" s="1"/>
    </row>
    <row r="1271" spans="7:7" x14ac:dyDescent="0.35">
      <c r="G1271" s="1"/>
    </row>
    <row r="1272" spans="7:7" x14ac:dyDescent="0.35">
      <c r="G1272" s="1"/>
    </row>
    <row r="1273" spans="7:7" x14ac:dyDescent="0.35">
      <c r="G1273" s="1"/>
    </row>
    <row r="1274" spans="7:7" x14ac:dyDescent="0.35">
      <c r="G1274" s="1"/>
    </row>
    <row r="1275" spans="7:7" x14ac:dyDescent="0.35">
      <c r="G1275" s="1"/>
    </row>
    <row r="1276" spans="7:7" x14ac:dyDescent="0.35">
      <c r="G1276" s="1"/>
    </row>
    <row r="1277" spans="7:7" x14ac:dyDescent="0.35">
      <c r="G1277" s="1"/>
    </row>
    <row r="1278" spans="7:7" x14ac:dyDescent="0.35">
      <c r="G1278" s="1"/>
    </row>
    <row r="1279" spans="7:7" x14ac:dyDescent="0.35">
      <c r="G1279" s="1"/>
    </row>
    <row r="1280" spans="7:7" x14ac:dyDescent="0.35">
      <c r="G1280" s="1"/>
    </row>
    <row r="1281" spans="7:7" x14ac:dyDescent="0.35">
      <c r="G1281" s="1"/>
    </row>
    <row r="1282" spans="7:7" x14ac:dyDescent="0.35">
      <c r="G1282" s="1"/>
    </row>
    <row r="1283" spans="7:7" x14ac:dyDescent="0.35">
      <c r="G1283" s="1"/>
    </row>
    <row r="1284" spans="7:7" x14ac:dyDescent="0.35">
      <c r="G1284" s="1"/>
    </row>
    <row r="1285" spans="7:7" x14ac:dyDescent="0.35">
      <c r="G1285" s="1"/>
    </row>
    <row r="1286" spans="7:7" x14ac:dyDescent="0.35">
      <c r="G1286" s="1"/>
    </row>
    <row r="1287" spans="7:7" x14ac:dyDescent="0.35">
      <c r="G1287" s="1"/>
    </row>
    <row r="1288" spans="7:7" x14ac:dyDescent="0.35">
      <c r="G1288" s="1"/>
    </row>
    <row r="1289" spans="7:7" x14ac:dyDescent="0.35">
      <c r="G1289" s="1"/>
    </row>
    <row r="1290" spans="7:7" x14ac:dyDescent="0.35">
      <c r="G1290" s="1"/>
    </row>
    <row r="1291" spans="7:7" x14ac:dyDescent="0.35">
      <c r="G1291" s="1"/>
    </row>
    <row r="1292" spans="7:7" x14ac:dyDescent="0.35">
      <c r="G1292" s="1"/>
    </row>
    <row r="1293" spans="7:7" x14ac:dyDescent="0.35">
      <c r="G1293" s="1"/>
    </row>
    <row r="1294" spans="7:7" x14ac:dyDescent="0.35">
      <c r="G1294" s="1"/>
    </row>
    <row r="1295" spans="7:7" x14ac:dyDescent="0.35">
      <c r="G1295" s="1"/>
    </row>
    <row r="1296" spans="7:7" x14ac:dyDescent="0.35">
      <c r="G1296" s="1"/>
    </row>
    <row r="1297" spans="7:7" x14ac:dyDescent="0.35">
      <c r="G1297" s="1"/>
    </row>
    <row r="1298" spans="7:7" x14ac:dyDescent="0.35">
      <c r="G1298" s="1"/>
    </row>
    <row r="1299" spans="7:7" x14ac:dyDescent="0.35">
      <c r="G1299" s="1"/>
    </row>
    <row r="1300" spans="7:7" x14ac:dyDescent="0.35">
      <c r="G1300" s="1"/>
    </row>
    <row r="1301" spans="7:7" x14ac:dyDescent="0.35">
      <c r="G1301" s="1"/>
    </row>
    <row r="1302" spans="7:7" x14ac:dyDescent="0.35">
      <c r="G1302" s="1"/>
    </row>
    <row r="1303" spans="7:7" x14ac:dyDescent="0.35">
      <c r="G1303" s="1"/>
    </row>
    <row r="1304" spans="7:7" x14ac:dyDescent="0.35">
      <c r="G1304" s="1"/>
    </row>
    <row r="1305" spans="7:7" x14ac:dyDescent="0.35">
      <c r="G1305" s="1"/>
    </row>
    <row r="1306" spans="7:7" x14ac:dyDescent="0.35">
      <c r="G1306" s="1"/>
    </row>
    <row r="1307" spans="7:7" x14ac:dyDescent="0.35">
      <c r="G1307" s="1"/>
    </row>
    <row r="1308" spans="7:7" x14ac:dyDescent="0.35">
      <c r="G1308" s="1"/>
    </row>
    <row r="1309" spans="7:7" x14ac:dyDescent="0.35">
      <c r="G1309" s="1"/>
    </row>
    <row r="1310" spans="7:7" x14ac:dyDescent="0.35">
      <c r="G1310" s="1"/>
    </row>
    <row r="1311" spans="7:7" x14ac:dyDescent="0.35">
      <c r="G1311" s="1"/>
    </row>
    <row r="1312" spans="7:7" x14ac:dyDescent="0.35">
      <c r="G1312" s="1"/>
    </row>
    <row r="1313" spans="7:7" x14ac:dyDescent="0.35">
      <c r="G1313" s="1"/>
    </row>
    <row r="1314" spans="7:7" x14ac:dyDescent="0.35">
      <c r="G1314" s="1"/>
    </row>
    <row r="1315" spans="7:7" x14ac:dyDescent="0.35">
      <c r="G1315" s="1"/>
    </row>
    <row r="1316" spans="7:7" x14ac:dyDescent="0.35">
      <c r="G1316" s="1"/>
    </row>
    <row r="1317" spans="7:7" x14ac:dyDescent="0.35">
      <c r="G1317" s="1"/>
    </row>
    <row r="1318" spans="7:7" x14ac:dyDescent="0.35">
      <c r="G1318" s="1"/>
    </row>
    <row r="1319" spans="7:7" x14ac:dyDescent="0.35">
      <c r="G1319" s="1"/>
    </row>
    <row r="1320" spans="7:7" x14ac:dyDescent="0.35">
      <c r="G1320" s="1"/>
    </row>
    <row r="1321" spans="7:7" x14ac:dyDescent="0.35">
      <c r="G1321" s="1"/>
    </row>
    <row r="1322" spans="7:7" x14ac:dyDescent="0.35">
      <c r="G1322" s="1"/>
    </row>
    <row r="1323" spans="7:7" x14ac:dyDescent="0.35">
      <c r="G1323" s="1"/>
    </row>
    <row r="1324" spans="7:7" x14ac:dyDescent="0.35">
      <c r="G1324" s="1"/>
    </row>
    <row r="1325" spans="7:7" x14ac:dyDescent="0.35">
      <c r="G1325" s="1"/>
    </row>
    <row r="1326" spans="7:7" x14ac:dyDescent="0.35">
      <c r="G1326" s="1"/>
    </row>
    <row r="1327" spans="7:7" x14ac:dyDescent="0.35">
      <c r="G1327" s="1"/>
    </row>
    <row r="1328" spans="7:7" x14ac:dyDescent="0.35">
      <c r="G1328" s="1"/>
    </row>
    <row r="1329" spans="7:7" x14ac:dyDescent="0.35">
      <c r="G1329" s="1"/>
    </row>
    <row r="1330" spans="7:7" x14ac:dyDescent="0.35">
      <c r="G1330" s="1"/>
    </row>
    <row r="1331" spans="7:7" x14ac:dyDescent="0.35">
      <c r="G1331" s="1"/>
    </row>
    <row r="1332" spans="7:7" x14ac:dyDescent="0.35">
      <c r="G1332" s="1"/>
    </row>
    <row r="1333" spans="7:7" x14ac:dyDescent="0.35">
      <c r="G1333" s="1"/>
    </row>
    <row r="1334" spans="7:7" x14ac:dyDescent="0.35">
      <c r="G1334" s="1"/>
    </row>
    <row r="1335" spans="7:7" x14ac:dyDescent="0.35">
      <c r="G1335" s="1"/>
    </row>
    <row r="1336" spans="7:7" x14ac:dyDescent="0.35">
      <c r="G1336" s="1"/>
    </row>
    <row r="1337" spans="7:7" x14ac:dyDescent="0.35">
      <c r="G1337" s="1"/>
    </row>
    <row r="1338" spans="7:7" x14ac:dyDescent="0.35">
      <c r="G1338" s="1"/>
    </row>
    <row r="1339" spans="7:7" x14ac:dyDescent="0.35">
      <c r="G1339" s="1"/>
    </row>
    <row r="1340" spans="7:7" x14ac:dyDescent="0.35">
      <c r="G1340" s="1"/>
    </row>
    <row r="1341" spans="7:7" x14ac:dyDescent="0.35">
      <c r="G1341" s="1"/>
    </row>
    <row r="1342" spans="7:7" x14ac:dyDescent="0.35">
      <c r="G1342" s="1"/>
    </row>
    <row r="1343" spans="7:7" x14ac:dyDescent="0.35">
      <c r="G1343" s="1"/>
    </row>
    <row r="1344" spans="7:7" x14ac:dyDescent="0.35">
      <c r="G1344" s="1"/>
    </row>
    <row r="1345" spans="7:7" x14ac:dyDescent="0.35">
      <c r="G1345" s="1"/>
    </row>
    <row r="1346" spans="7:7" x14ac:dyDescent="0.35">
      <c r="G1346" s="1"/>
    </row>
    <row r="1347" spans="7:7" x14ac:dyDescent="0.35">
      <c r="G1347" s="1"/>
    </row>
    <row r="1348" spans="7:7" x14ac:dyDescent="0.35">
      <c r="G1348" s="1"/>
    </row>
    <row r="1349" spans="7:7" x14ac:dyDescent="0.35">
      <c r="G1349" s="1"/>
    </row>
    <row r="1350" spans="7:7" x14ac:dyDescent="0.35">
      <c r="G1350" s="1"/>
    </row>
    <row r="1351" spans="7:7" x14ac:dyDescent="0.35">
      <c r="G1351" s="1"/>
    </row>
    <row r="1352" spans="7:7" x14ac:dyDescent="0.35">
      <c r="G1352" s="1"/>
    </row>
    <row r="1353" spans="7:7" x14ac:dyDescent="0.35">
      <c r="G1353" s="1"/>
    </row>
    <row r="1354" spans="7:7" x14ac:dyDescent="0.35">
      <c r="G1354" s="1"/>
    </row>
    <row r="1355" spans="7:7" x14ac:dyDescent="0.35">
      <c r="G1355" s="1"/>
    </row>
    <row r="1356" spans="7:7" x14ac:dyDescent="0.35">
      <c r="G1356" s="1"/>
    </row>
    <row r="1357" spans="7:7" x14ac:dyDescent="0.35">
      <c r="G1357" s="1"/>
    </row>
    <row r="1358" spans="7:7" x14ac:dyDescent="0.35">
      <c r="G1358" s="1"/>
    </row>
    <row r="1359" spans="7:7" x14ac:dyDescent="0.35">
      <c r="G1359" s="1"/>
    </row>
    <row r="1360" spans="7:7" x14ac:dyDescent="0.35">
      <c r="G1360" s="1"/>
    </row>
    <row r="1361" spans="7:7" x14ac:dyDescent="0.35">
      <c r="G1361" s="1"/>
    </row>
    <row r="1362" spans="7:7" x14ac:dyDescent="0.35">
      <c r="G1362" s="1"/>
    </row>
    <row r="1363" spans="7:7" x14ac:dyDescent="0.35">
      <c r="G1363" s="1"/>
    </row>
    <row r="1364" spans="7:7" x14ac:dyDescent="0.35">
      <c r="G1364" s="1"/>
    </row>
    <row r="1365" spans="7:7" x14ac:dyDescent="0.35">
      <c r="G1365" s="1"/>
    </row>
    <row r="1366" spans="7:7" x14ac:dyDescent="0.35">
      <c r="G1366" s="1"/>
    </row>
    <row r="1367" spans="7:7" x14ac:dyDescent="0.35">
      <c r="G1367" s="1"/>
    </row>
    <row r="1368" spans="7:7" x14ac:dyDescent="0.35">
      <c r="G1368" s="1"/>
    </row>
    <row r="1369" spans="7:7" x14ac:dyDescent="0.35">
      <c r="G1369" s="1"/>
    </row>
    <row r="1370" spans="7:7" x14ac:dyDescent="0.35">
      <c r="G1370" s="1"/>
    </row>
    <row r="1371" spans="7:7" x14ac:dyDescent="0.35">
      <c r="G1371" s="1"/>
    </row>
    <row r="1372" spans="7:7" x14ac:dyDescent="0.35">
      <c r="G1372" s="1"/>
    </row>
    <row r="1373" spans="7:7" x14ac:dyDescent="0.35">
      <c r="G1373" s="1"/>
    </row>
    <row r="1374" spans="7:7" x14ac:dyDescent="0.35">
      <c r="G1374" s="1"/>
    </row>
    <row r="1375" spans="7:7" x14ac:dyDescent="0.35">
      <c r="G1375" s="1"/>
    </row>
    <row r="1376" spans="7:7" x14ac:dyDescent="0.35">
      <c r="G1376" s="1"/>
    </row>
    <row r="1377" spans="7:7" x14ac:dyDescent="0.35">
      <c r="G1377" s="1"/>
    </row>
    <row r="1378" spans="7:7" x14ac:dyDescent="0.35">
      <c r="G1378" s="1"/>
    </row>
    <row r="1379" spans="7:7" x14ac:dyDescent="0.35">
      <c r="G1379" s="1"/>
    </row>
    <row r="1380" spans="7:7" x14ac:dyDescent="0.35">
      <c r="G1380" s="1"/>
    </row>
    <row r="1381" spans="7:7" x14ac:dyDescent="0.35">
      <c r="G1381" s="1"/>
    </row>
    <row r="1382" spans="7:7" x14ac:dyDescent="0.35">
      <c r="G1382" s="1"/>
    </row>
    <row r="1383" spans="7:7" x14ac:dyDescent="0.35">
      <c r="G1383" s="1"/>
    </row>
    <row r="1384" spans="7:7" x14ac:dyDescent="0.35">
      <c r="G1384" s="1"/>
    </row>
    <row r="1385" spans="7:7" x14ac:dyDescent="0.35">
      <c r="G1385" s="1"/>
    </row>
    <row r="1386" spans="7:7" x14ac:dyDescent="0.35">
      <c r="G1386" s="1"/>
    </row>
    <row r="1387" spans="7:7" x14ac:dyDescent="0.35">
      <c r="G1387" s="1"/>
    </row>
    <row r="1388" spans="7:7" x14ac:dyDescent="0.35">
      <c r="G1388" s="1"/>
    </row>
    <row r="1389" spans="7:7" x14ac:dyDescent="0.35">
      <c r="G1389" s="1"/>
    </row>
    <row r="1390" spans="7:7" x14ac:dyDescent="0.35">
      <c r="G1390" s="1"/>
    </row>
    <row r="1391" spans="7:7" x14ac:dyDescent="0.35">
      <c r="G1391" s="1"/>
    </row>
    <row r="1392" spans="7:7" x14ac:dyDescent="0.35">
      <c r="G1392" s="1"/>
    </row>
    <row r="1393" spans="7:7" x14ac:dyDescent="0.35">
      <c r="G1393" s="1"/>
    </row>
    <row r="1394" spans="7:7" x14ac:dyDescent="0.35">
      <c r="G1394" s="1"/>
    </row>
    <row r="1395" spans="7:7" x14ac:dyDescent="0.35">
      <c r="G1395" s="1"/>
    </row>
    <row r="1396" spans="7:7" x14ac:dyDescent="0.35">
      <c r="G1396" s="1"/>
    </row>
    <row r="1397" spans="7:7" x14ac:dyDescent="0.35">
      <c r="G1397" s="1"/>
    </row>
    <row r="1398" spans="7:7" x14ac:dyDescent="0.35">
      <c r="G1398" s="1"/>
    </row>
    <row r="1399" spans="7:7" x14ac:dyDescent="0.35">
      <c r="G1399" s="1"/>
    </row>
    <row r="1400" spans="7:7" x14ac:dyDescent="0.35">
      <c r="G1400" s="1"/>
    </row>
    <row r="1401" spans="7:7" x14ac:dyDescent="0.35">
      <c r="G1401" s="1"/>
    </row>
    <row r="1402" spans="7:7" x14ac:dyDescent="0.35">
      <c r="G1402" s="1"/>
    </row>
    <row r="1403" spans="7:7" x14ac:dyDescent="0.35">
      <c r="G1403" s="1"/>
    </row>
    <row r="1404" spans="7:7" x14ac:dyDescent="0.35">
      <c r="G1404" s="1"/>
    </row>
    <row r="1405" spans="7:7" x14ac:dyDescent="0.35">
      <c r="G1405" s="1"/>
    </row>
    <row r="1406" spans="7:7" x14ac:dyDescent="0.35">
      <c r="G1406" s="1"/>
    </row>
    <row r="1407" spans="7:7" x14ac:dyDescent="0.35">
      <c r="G1407" s="1"/>
    </row>
    <row r="1408" spans="7:7" x14ac:dyDescent="0.35">
      <c r="G1408" s="1"/>
    </row>
    <row r="1409" spans="7:7" x14ac:dyDescent="0.35">
      <c r="G1409" s="1"/>
    </row>
    <row r="1410" spans="7:7" x14ac:dyDescent="0.35">
      <c r="G1410" s="1"/>
    </row>
    <row r="1411" spans="7:7" x14ac:dyDescent="0.35">
      <c r="G1411" s="1"/>
    </row>
    <row r="1412" spans="7:7" x14ac:dyDescent="0.35">
      <c r="G1412" s="1"/>
    </row>
    <row r="1413" spans="7:7" x14ac:dyDescent="0.35">
      <c r="G1413" s="1"/>
    </row>
    <row r="1414" spans="7:7" x14ac:dyDescent="0.35">
      <c r="G1414" s="1"/>
    </row>
    <row r="1415" spans="7:7" x14ac:dyDescent="0.35">
      <c r="G1415" s="1"/>
    </row>
    <row r="1416" spans="7:7" x14ac:dyDescent="0.35">
      <c r="G1416" s="1"/>
    </row>
    <row r="1417" spans="7:7" x14ac:dyDescent="0.35">
      <c r="G1417" s="1"/>
    </row>
    <row r="1418" spans="7:7" x14ac:dyDescent="0.35">
      <c r="G1418" s="1"/>
    </row>
    <row r="1419" spans="7:7" x14ac:dyDescent="0.35">
      <c r="G1419" s="1"/>
    </row>
    <row r="1420" spans="7:7" x14ac:dyDescent="0.35">
      <c r="G1420" s="1"/>
    </row>
    <row r="1421" spans="7:7" x14ac:dyDescent="0.35">
      <c r="G1421" s="1"/>
    </row>
    <row r="1422" spans="7:7" x14ac:dyDescent="0.35">
      <c r="G1422" s="1"/>
    </row>
    <row r="1423" spans="7:7" x14ac:dyDescent="0.35">
      <c r="G1423" s="1"/>
    </row>
    <row r="1424" spans="7:7" x14ac:dyDescent="0.35">
      <c r="G1424" s="1"/>
    </row>
    <row r="1425" spans="7:7" x14ac:dyDescent="0.35">
      <c r="G1425" s="1"/>
    </row>
    <row r="1426" spans="7:7" x14ac:dyDescent="0.35">
      <c r="G1426" s="1"/>
    </row>
    <row r="1427" spans="7:7" x14ac:dyDescent="0.35">
      <c r="G1427" s="1"/>
    </row>
    <row r="1428" spans="7:7" x14ac:dyDescent="0.35">
      <c r="G1428" s="1"/>
    </row>
    <row r="1429" spans="7:7" x14ac:dyDescent="0.35">
      <c r="G1429" s="1"/>
    </row>
    <row r="1430" spans="7:7" x14ac:dyDescent="0.35">
      <c r="G1430" s="1"/>
    </row>
    <row r="1431" spans="7:7" x14ac:dyDescent="0.35">
      <c r="G1431" s="1"/>
    </row>
    <row r="1432" spans="7:7" x14ac:dyDescent="0.35">
      <c r="G1432" s="1"/>
    </row>
    <row r="1433" spans="7:7" x14ac:dyDescent="0.35">
      <c r="G1433" s="1"/>
    </row>
    <row r="1434" spans="7:7" x14ac:dyDescent="0.35">
      <c r="G1434" s="1"/>
    </row>
    <row r="1435" spans="7:7" x14ac:dyDescent="0.35">
      <c r="G1435" s="1"/>
    </row>
    <row r="1436" spans="7:7" x14ac:dyDescent="0.35">
      <c r="G1436" s="1"/>
    </row>
    <row r="1437" spans="7:7" x14ac:dyDescent="0.35">
      <c r="G1437" s="1"/>
    </row>
    <row r="1438" spans="7:7" x14ac:dyDescent="0.35">
      <c r="G1438" s="1"/>
    </row>
    <row r="1439" spans="7:7" x14ac:dyDescent="0.35">
      <c r="G1439" s="1"/>
    </row>
    <row r="1440" spans="7:7" x14ac:dyDescent="0.35">
      <c r="G1440" s="1"/>
    </row>
    <row r="1441" spans="7:7" x14ac:dyDescent="0.35">
      <c r="G1441" s="1"/>
    </row>
    <row r="1442" spans="7:7" x14ac:dyDescent="0.35">
      <c r="G1442" s="1"/>
    </row>
    <row r="1443" spans="7:7" x14ac:dyDescent="0.35">
      <c r="G1443" s="1"/>
    </row>
    <row r="1444" spans="7:7" x14ac:dyDescent="0.35">
      <c r="G1444" s="1"/>
    </row>
    <row r="1445" spans="7:7" x14ac:dyDescent="0.35">
      <c r="G1445" s="1"/>
    </row>
    <row r="1446" spans="7:7" x14ac:dyDescent="0.35">
      <c r="G1446" s="1"/>
    </row>
    <row r="1447" spans="7:7" x14ac:dyDescent="0.35">
      <c r="G1447" s="1"/>
    </row>
    <row r="1448" spans="7:7" x14ac:dyDescent="0.35">
      <c r="G1448" s="1"/>
    </row>
    <row r="1449" spans="7:7" x14ac:dyDescent="0.35">
      <c r="G1449" s="1"/>
    </row>
    <row r="1450" spans="7:7" x14ac:dyDescent="0.35">
      <c r="G1450" s="1"/>
    </row>
    <row r="1451" spans="7:7" x14ac:dyDescent="0.35">
      <c r="G1451" s="1"/>
    </row>
    <row r="1452" spans="7:7" x14ac:dyDescent="0.35">
      <c r="G1452" s="1"/>
    </row>
    <row r="1453" spans="7:7" x14ac:dyDescent="0.35">
      <c r="G1453" s="1"/>
    </row>
    <row r="1454" spans="7:7" x14ac:dyDescent="0.35">
      <c r="G1454" s="1"/>
    </row>
    <row r="1455" spans="7:7" x14ac:dyDescent="0.35">
      <c r="G1455" s="1"/>
    </row>
    <row r="1456" spans="7:7" x14ac:dyDescent="0.35">
      <c r="G1456" s="1"/>
    </row>
    <row r="1457" spans="7:7" x14ac:dyDescent="0.35">
      <c r="G1457" s="1"/>
    </row>
    <row r="1458" spans="7:7" x14ac:dyDescent="0.35">
      <c r="G1458" s="1"/>
    </row>
    <row r="1459" spans="7:7" x14ac:dyDescent="0.35">
      <c r="G1459" s="1"/>
    </row>
    <row r="1460" spans="7:7" x14ac:dyDescent="0.35">
      <c r="G1460" s="1"/>
    </row>
    <row r="1461" spans="7:7" x14ac:dyDescent="0.35">
      <c r="G1461" s="1"/>
    </row>
    <row r="1462" spans="7:7" x14ac:dyDescent="0.35">
      <c r="G1462" s="1"/>
    </row>
    <row r="1463" spans="7:7" x14ac:dyDescent="0.35">
      <c r="G1463" s="1"/>
    </row>
    <row r="1464" spans="7:7" x14ac:dyDescent="0.35">
      <c r="G1464" s="1"/>
    </row>
    <row r="1465" spans="7:7" x14ac:dyDescent="0.35">
      <c r="G1465" s="1"/>
    </row>
    <row r="1466" spans="7:7" x14ac:dyDescent="0.35">
      <c r="G1466" s="1"/>
    </row>
    <row r="1467" spans="7:7" x14ac:dyDescent="0.35">
      <c r="G1467" s="1"/>
    </row>
    <row r="1468" spans="7:7" x14ac:dyDescent="0.35">
      <c r="G1468" s="1"/>
    </row>
    <row r="1469" spans="7:7" x14ac:dyDescent="0.35">
      <c r="G1469" s="1"/>
    </row>
    <row r="1470" spans="7:7" x14ac:dyDescent="0.35">
      <c r="G1470" s="1"/>
    </row>
    <row r="1471" spans="7:7" x14ac:dyDescent="0.35">
      <c r="G1471" s="1"/>
    </row>
    <row r="1472" spans="7:7" x14ac:dyDescent="0.35">
      <c r="G1472" s="1"/>
    </row>
    <row r="1473" spans="7:7" x14ac:dyDescent="0.35">
      <c r="G1473" s="1"/>
    </row>
    <row r="1474" spans="7:7" x14ac:dyDescent="0.35">
      <c r="G1474" s="1"/>
    </row>
    <row r="1475" spans="7:7" x14ac:dyDescent="0.35">
      <c r="G1475" s="1"/>
    </row>
    <row r="1476" spans="7:7" x14ac:dyDescent="0.35">
      <c r="G1476" s="1"/>
    </row>
    <row r="1477" spans="7:7" x14ac:dyDescent="0.35">
      <c r="G1477" s="1"/>
    </row>
    <row r="1478" spans="7:7" x14ac:dyDescent="0.35">
      <c r="G1478" s="1"/>
    </row>
    <row r="1479" spans="7:7" x14ac:dyDescent="0.35">
      <c r="G1479" s="1"/>
    </row>
    <row r="1480" spans="7:7" x14ac:dyDescent="0.35">
      <c r="G1480" s="1"/>
    </row>
    <row r="1481" spans="7:7" x14ac:dyDescent="0.35">
      <c r="G1481" s="1"/>
    </row>
    <row r="1482" spans="7:7" x14ac:dyDescent="0.35">
      <c r="G1482" s="1"/>
    </row>
    <row r="1483" spans="7:7" x14ac:dyDescent="0.35">
      <c r="G1483" s="1"/>
    </row>
    <row r="1484" spans="7:7" x14ac:dyDescent="0.35">
      <c r="G1484" s="1"/>
    </row>
    <row r="1485" spans="7:7" x14ac:dyDescent="0.35">
      <c r="G1485" s="1"/>
    </row>
    <row r="1486" spans="7:7" x14ac:dyDescent="0.35">
      <c r="G1486" s="1"/>
    </row>
    <row r="1487" spans="7:7" x14ac:dyDescent="0.35">
      <c r="G1487" s="1"/>
    </row>
    <row r="1488" spans="7:7" x14ac:dyDescent="0.35">
      <c r="G1488" s="1"/>
    </row>
    <row r="1489" spans="7:7" x14ac:dyDescent="0.35">
      <c r="G1489" s="1"/>
    </row>
    <row r="1490" spans="7:7" x14ac:dyDescent="0.35">
      <c r="G1490" s="1"/>
    </row>
    <row r="1491" spans="7:7" x14ac:dyDescent="0.35">
      <c r="G1491" s="1"/>
    </row>
    <row r="1492" spans="7:7" x14ac:dyDescent="0.35">
      <c r="G1492" s="1"/>
    </row>
    <row r="1493" spans="7:7" x14ac:dyDescent="0.35">
      <c r="G1493" s="1"/>
    </row>
    <row r="1494" spans="7:7" x14ac:dyDescent="0.35">
      <c r="G1494" s="1"/>
    </row>
    <row r="1495" spans="7:7" x14ac:dyDescent="0.35">
      <c r="G1495" s="1"/>
    </row>
    <row r="1496" spans="7:7" x14ac:dyDescent="0.35">
      <c r="G1496" s="1"/>
    </row>
    <row r="1497" spans="7:7" x14ac:dyDescent="0.35">
      <c r="G1497" s="1"/>
    </row>
    <row r="1498" spans="7:7" x14ac:dyDescent="0.35">
      <c r="G1498" s="1"/>
    </row>
    <row r="1499" spans="7:7" x14ac:dyDescent="0.35">
      <c r="G1499" s="1"/>
    </row>
    <row r="1500" spans="7:7" x14ac:dyDescent="0.35">
      <c r="G1500" s="1"/>
    </row>
    <row r="1501" spans="7:7" x14ac:dyDescent="0.35">
      <c r="G1501" s="1"/>
    </row>
    <row r="1502" spans="7:7" x14ac:dyDescent="0.35">
      <c r="G1502" s="1"/>
    </row>
    <row r="1503" spans="7:7" x14ac:dyDescent="0.35">
      <c r="G1503" s="1"/>
    </row>
    <row r="1504" spans="7:7" x14ac:dyDescent="0.35">
      <c r="G1504" s="1"/>
    </row>
    <row r="1505" spans="7:7" x14ac:dyDescent="0.35">
      <c r="G1505" s="1"/>
    </row>
    <row r="1506" spans="7:7" x14ac:dyDescent="0.35">
      <c r="G1506" s="1"/>
    </row>
    <row r="1507" spans="7:7" x14ac:dyDescent="0.35">
      <c r="G1507" s="1"/>
    </row>
    <row r="1508" spans="7:7" x14ac:dyDescent="0.35">
      <c r="G1508" s="1"/>
    </row>
    <row r="1509" spans="7:7" x14ac:dyDescent="0.35">
      <c r="G1509" s="1"/>
    </row>
    <row r="1510" spans="7:7" x14ac:dyDescent="0.35">
      <c r="G1510" s="1"/>
    </row>
    <row r="1511" spans="7:7" x14ac:dyDescent="0.35">
      <c r="G1511" s="1"/>
    </row>
    <row r="1512" spans="7:7" x14ac:dyDescent="0.35">
      <c r="G1512" s="1"/>
    </row>
    <row r="1513" spans="7:7" x14ac:dyDescent="0.35">
      <c r="G1513" s="1"/>
    </row>
    <row r="1514" spans="7:7" x14ac:dyDescent="0.35">
      <c r="G1514" s="1"/>
    </row>
    <row r="1515" spans="7:7" x14ac:dyDescent="0.35">
      <c r="G1515" s="1"/>
    </row>
    <row r="1516" spans="7:7" x14ac:dyDescent="0.35">
      <c r="G1516" s="1"/>
    </row>
    <row r="1517" spans="7:7" x14ac:dyDescent="0.35">
      <c r="G1517" s="1"/>
    </row>
    <row r="1518" spans="7:7" x14ac:dyDescent="0.35">
      <c r="G1518" s="1"/>
    </row>
    <row r="1519" spans="7:7" x14ac:dyDescent="0.35">
      <c r="G1519" s="1"/>
    </row>
    <row r="1520" spans="7:7" x14ac:dyDescent="0.35">
      <c r="G1520" s="1"/>
    </row>
    <row r="1521" spans="7:7" x14ac:dyDescent="0.35">
      <c r="G1521" s="1"/>
    </row>
    <row r="1522" spans="7:7" x14ac:dyDescent="0.35">
      <c r="G1522" s="1"/>
    </row>
    <row r="1523" spans="7:7" x14ac:dyDescent="0.35">
      <c r="G1523" s="1"/>
    </row>
    <row r="1524" spans="7:7" x14ac:dyDescent="0.35">
      <c r="G1524" s="1"/>
    </row>
    <row r="1525" spans="7:7" x14ac:dyDescent="0.35">
      <c r="G1525" s="1"/>
    </row>
    <row r="1526" spans="7:7" x14ac:dyDescent="0.35">
      <c r="G1526" s="1"/>
    </row>
    <row r="1527" spans="7:7" x14ac:dyDescent="0.35">
      <c r="G1527" s="1"/>
    </row>
    <row r="1528" spans="7:7" x14ac:dyDescent="0.35">
      <c r="G1528" s="1"/>
    </row>
    <row r="1529" spans="7:7" x14ac:dyDescent="0.35">
      <c r="G1529" s="1"/>
    </row>
    <row r="1530" spans="7:7" x14ac:dyDescent="0.35">
      <c r="G1530" s="1"/>
    </row>
    <row r="1531" spans="7:7" x14ac:dyDescent="0.35">
      <c r="G1531" s="1"/>
    </row>
    <row r="1532" spans="7:7" x14ac:dyDescent="0.35">
      <c r="G1532" s="1"/>
    </row>
    <row r="1533" spans="7:7" x14ac:dyDescent="0.35">
      <c r="G1533" s="1"/>
    </row>
    <row r="1534" spans="7:7" x14ac:dyDescent="0.35">
      <c r="G1534" s="1"/>
    </row>
    <row r="1535" spans="7:7" x14ac:dyDescent="0.35">
      <c r="G1535" s="1"/>
    </row>
    <row r="1536" spans="7:7" x14ac:dyDescent="0.35">
      <c r="G1536" s="1"/>
    </row>
    <row r="1537" spans="7:7" x14ac:dyDescent="0.35">
      <c r="G1537" s="1"/>
    </row>
    <row r="1538" spans="7:7" x14ac:dyDescent="0.35">
      <c r="G1538" s="1"/>
    </row>
    <row r="1539" spans="7:7" x14ac:dyDescent="0.35">
      <c r="G1539" s="1"/>
    </row>
    <row r="1540" spans="7:7" x14ac:dyDescent="0.35">
      <c r="G1540" s="1"/>
    </row>
    <row r="1541" spans="7:7" x14ac:dyDescent="0.35">
      <c r="G1541" s="1"/>
    </row>
    <row r="1542" spans="7:7" x14ac:dyDescent="0.35">
      <c r="G1542" s="1"/>
    </row>
    <row r="1543" spans="7:7" x14ac:dyDescent="0.35">
      <c r="G1543" s="1"/>
    </row>
    <row r="1544" spans="7:7" x14ac:dyDescent="0.35">
      <c r="G1544" s="1"/>
    </row>
    <row r="1545" spans="7:7" x14ac:dyDescent="0.35">
      <c r="G1545" s="1"/>
    </row>
    <row r="1546" spans="7:7" x14ac:dyDescent="0.35">
      <c r="G1546" s="1"/>
    </row>
    <row r="1547" spans="7:7" x14ac:dyDescent="0.35">
      <c r="G1547" s="1"/>
    </row>
    <row r="1548" spans="7:7" x14ac:dyDescent="0.35">
      <c r="G1548" s="1"/>
    </row>
    <row r="1549" spans="7:7" x14ac:dyDescent="0.35">
      <c r="G1549" s="1"/>
    </row>
    <row r="1550" spans="7:7" x14ac:dyDescent="0.35">
      <c r="G1550" s="1"/>
    </row>
    <row r="1551" spans="7:7" x14ac:dyDescent="0.35">
      <c r="G1551" s="1"/>
    </row>
    <row r="1552" spans="7:7" x14ac:dyDescent="0.35">
      <c r="G1552" s="1"/>
    </row>
    <row r="1553" spans="7:7" x14ac:dyDescent="0.35">
      <c r="G1553" s="1"/>
    </row>
    <row r="1554" spans="7:7" x14ac:dyDescent="0.35">
      <c r="G1554" s="1"/>
    </row>
    <row r="1555" spans="7:7" x14ac:dyDescent="0.35">
      <c r="G1555" s="1"/>
    </row>
    <row r="1556" spans="7:7" x14ac:dyDescent="0.35">
      <c r="G1556" s="1"/>
    </row>
    <row r="1557" spans="7:7" x14ac:dyDescent="0.35">
      <c r="G1557" s="1"/>
    </row>
    <row r="1558" spans="7:7" x14ac:dyDescent="0.35">
      <c r="G1558" s="1"/>
    </row>
    <row r="1559" spans="7:7" x14ac:dyDescent="0.35">
      <c r="G1559" s="1"/>
    </row>
    <row r="1560" spans="7:7" x14ac:dyDescent="0.35">
      <c r="G1560" s="1"/>
    </row>
    <row r="1561" spans="7:7" x14ac:dyDescent="0.35">
      <c r="G1561" s="1"/>
    </row>
    <row r="1562" spans="7:7" x14ac:dyDescent="0.35">
      <c r="G1562" s="1"/>
    </row>
    <row r="1563" spans="7:7" x14ac:dyDescent="0.35">
      <c r="G1563" s="1"/>
    </row>
    <row r="1564" spans="7:7" x14ac:dyDescent="0.35">
      <c r="G1564" s="1"/>
    </row>
    <row r="1565" spans="7:7" x14ac:dyDescent="0.35">
      <c r="G1565" s="1"/>
    </row>
    <row r="1566" spans="7:7" x14ac:dyDescent="0.35">
      <c r="G1566" s="1"/>
    </row>
    <row r="1567" spans="7:7" x14ac:dyDescent="0.35">
      <c r="G1567" s="1"/>
    </row>
    <row r="1568" spans="7:7" x14ac:dyDescent="0.35">
      <c r="G1568" s="1"/>
    </row>
    <row r="1569" spans="7:7" x14ac:dyDescent="0.35">
      <c r="G1569" s="1"/>
    </row>
    <row r="1570" spans="7:7" x14ac:dyDescent="0.35">
      <c r="G1570" s="1"/>
    </row>
    <row r="1571" spans="7:7" x14ac:dyDescent="0.35">
      <c r="G1571" s="1"/>
    </row>
    <row r="1572" spans="7:7" x14ac:dyDescent="0.35">
      <c r="G1572" s="1"/>
    </row>
    <row r="1573" spans="7:7" x14ac:dyDescent="0.35">
      <c r="G1573" s="1"/>
    </row>
    <row r="1574" spans="7:7" x14ac:dyDescent="0.35">
      <c r="G1574" s="1"/>
    </row>
    <row r="1575" spans="7:7" x14ac:dyDescent="0.35">
      <c r="G1575" s="1"/>
    </row>
    <row r="1576" spans="7:7" x14ac:dyDescent="0.35">
      <c r="G1576" s="1"/>
    </row>
    <row r="1577" spans="7:7" x14ac:dyDescent="0.35">
      <c r="G1577" s="1"/>
    </row>
    <row r="1578" spans="7:7" x14ac:dyDescent="0.35">
      <c r="G1578" s="1"/>
    </row>
    <row r="1579" spans="7:7" x14ac:dyDescent="0.35">
      <c r="G1579" s="1"/>
    </row>
    <row r="1580" spans="7:7" x14ac:dyDescent="0.35">
      <c r="G1580" s="1"/>
    </row>
    <row r="1581" spans="7:7" x14ac:dyDescent="0.35">
      <c r="G1581" s="1"/>
    </row>
    <row r="1582" spans="7:7" x14ac:dyDescent="0.35">
      <c r="G1582" s="1"/>
    </row>
    <row r="1583" spans="7:7" x14ac:dyDescent="0.35">
      <c r="G1583" s="1"/>
    </row>
    <row r="1584" spans="7:7" x14ac:dyDescent="0.35">
      <c r="G1584" s="1"/>
    </row>
    <row r="1585" spans="7:7" x14ac:dyDescent="0.35">
      <c r="G1585" s="1"/>
    </row>
    <row r="1586" spans="7:7" x14ac:dyDescent="0.35">
      <c r="G1586" s="1"/>
    </row>
    <row r="1587" spans="7:7" x14ac:dyDescent="0.35">
      <c r="G1587" s="1"/>
    </row>
    <row r="1588" spans="7:7" x14ac:dyDescent="0.35">
      <c r="G1588" s="1"/>
    </row>
    <row r="1589" spans="7:7" x14ac:dyDescent="0.35">
      <c r="G1589" s="1"/>
    </row>
    <row r="1590" spans="7:7" x14ac:dyDescent="0.35">
      <c r="G1590" s="1"/>
    </row>
    <row r="1591" spans="7:7" x14ac:dyDescent="0.35">
      <c r="G1591" s="1"/>
    </row>
    <row r="1592" spans="7:7" x14ac:dyDescent="0.35">
      <c r="G1592" s="1"/>
    </row>
    <row r="1593" spans="7:7" x14ac:dyDescent="0.35">
      <c r="G1593" s="1"/>
    </row>
    <row r="1594" spans="7:7" x14ac:dyDescent="0.35">
      <c r="G1594" s="1"/>
    </row>
    <row r="1595" spans="7:7" x14ac:dyDescent="0.35">
      <c r="G1595" s="1"/>
    </row>
    <row r="1596" spans="7:7" x14ac:dyDescent="0.35">
      <c r="G1596" s="1"/>
    </row>
    <row r="1597" spans="7:7" x14ac:dyDescent="0.35">
      <c r="G1597" s="1"/>
    </row>
    <row r="1598" spans="7:7" x14ac:dyDescent="0.35">
      <c r="G1598" s="1"/>
    </row>
    <row r="1599" spans="7:7" x14ac:dyDescent="0.35">
      <c r="G1599" s="1"/>
    </row>
    <row r="1600" spans="7:7" x14ac:dyDescent="0.35">
      <c r="G1600" s="1"/>
    </row>
    <row r="1601" spans="7:7" x14ac:dyDescent="0.35">
      <c r="G1601" s="1"/>
    </row>
    <row r="1602" spans="7:7" x14ac:dyDescent="0.35">
      <c r="G1602" s="1"/>
    </row>
    <row r="1603" spans="7:7" x14ac:dyDescent="0.35">
      <c r="G1603" s="1"/>
    </row>
    <row r="1604" spans="7:7" x14ac:dyDescent="0.35">
      <c r="G1604" s="1"/>
    </row>
    <row r="1605" spans="7:7" x14ac:dyDescent="0.35">
      <c r="G1605" s="1"/>
    </row>
    <row r="1606" spans="7:7" x14ac:dyDescent="0.35">
      <c r="G1606" s="1"/>
    </row>
    <row r="1607" spans="7:7" x14ac:dyDescent="0.35">
      <c r="G1607" s="1"/>
    </row>
    <row r="1608" spans="7:7" x14ac:dyDescent="0.35">
      <c r="G1608" s="1"/>
    </row>
    <row r="1609" spans="7:7" x14ac:dyDescent="0.35">
      <c r="G1609" s="1"/>
    </row>
    <row r="1610" spans="7:7" x14ac:dyDescent="0.35">
      <c r="G1610" s="1"/>
    </row>
    <row r="1611" spans="7:7" x14ac:dyDescent="0.35">
      <c r="G1611" s="1"/>
    </row>
    <row r="1612" spans="7:7" x14ac:dyDescent="0.35">
      <c r="G1612" s="1"/>
    </row>
    <row r="1613" spans="7:7" x14ac:dyDescent="0.35">
      <c r="G1613" s="1"/>
    </row>
    <row r="1614" spans="7:7" x14ac:dyDescent="0.35">
      <c r="G1614" s="1"/>
    </row>
    <row r="1615" spans="7:7" x14ac:dyDescent="0.35">
      <c r="G1615" s="1"/>
    </row>
    <row r="1616" spans="7:7" x14ac:dyDescent="0.35">
      <c r="G1616" s="1"/>
    </row>
    <row r="1617" spans="7:7" x14ac:dyDescent="0.35">
      <c r="G1617" s="1"/>
    </row>
    <row r="1618" spans="7:7" x14ac:dyDescent="0.35">
      <c r="G1618" s="1"/>
    </row>
    <row r="1619" spans="7:7" x14ac:dyDescent="0.35">
      <c r="G1619" s="1"/>
    </row>
    <row r="1620" spans="7:7" x14ac:dyDescent="0.35">
      <c r="G1620" s="1"/>
    </row>
    <row r="1621" spans="7:7" x14ac:dyDescent="0.35">
      <c r="G1621" s="1"/>
    </row>
    <row r="1622" spans="7:7" x14ac:dyDescent="0.35">
      <c r="G1622" s="1"/>
    </row>
    <row r="1623" spans="7:7" x14ac:dyDescent="0.35">
      <c r="G1623" s="1"/>
    </row>
    <row r="1624" spans="7:7" x14ac:dyDescent="0.35">
      <c r="G1624" s="1"/>
    </row>
    <row r="1625" spans="7:7" x14ac:dyDescent="0.35">
      <c r="G1625" s="1"/>
    </row>
    <row r="1626" spans="7:7" x14ac:dyDescent="0.35">
      <c r="G1626" s="1"/>
    </row>
    <row r="1627" spans="7:7" x14ac:dyDescent="0.35">
      <c r="G1627" s="1"/>
    </row>
    <row r="1628" spans="7:7" x14ac:dyDescent="0.35">
      <c r="G1628" s="1"/>
    </row>
    <row r="1629" spans="7:7" x14ac:dyDescent="0.35">
      <c r="G1629" s="1"/>
    </row>
    <row r="1630" spans="7:7" x14ac:dyDescent="0.35">
      <c r="G1630" s="1"/>
    </row>
    <row r="1631" spans="7:7" x14ac:dyDescent="0.35">
      <c r="G1631" s="1"/>
    </row>
    <row r="1632" spans="7:7" x14ac:dyDescent="0.35">
      <c r="G1632" s="1"/>
    </row>
    <row r="1633" spans="7:7" x14ac:dyDescent="0.35">
      <c r="G1633" s="1"/>
    </row>
    <row r="1634" spans="7:7" x14ac:dyDescent="0.35">
      <c r="G1634" s="1"/>
    </row>
    <row r="1635" spans="7:7" x14ac:dyDescent="0.35">
      <c r="G1635" s="1"/>
    </row>
    <row r="1636" spans="7:7" x14ac:dyDescent="0.35">
      <c r="G1636" s="1"/>
    </row>
    <row r="1637" spans="7:7" x14ac:dyDescent="0.35">
      <c r="G1637" s="1"/>
    </row>
    <row r="1638" spans="7:7" x14ac:dyDescent="0.35">
      <c r="G1638" s="1"/>
    </row>
    <row r="1639" spans="7:7" x14ac:dyDescent="0.35">
      <c r="G1639" s="1"/>
    </row>
    <row r="1640" spans="7:7" x14ac:dyDescent="0.35">
      <c r="G1640" s="1"/>
    </row>
    <row r="1641" spans="7:7" x14ac:dyDescent="0.35">
      <c r="G1641" s="1"/>
    </row>
    <row r="1642" spans="7:7" x14ac:dyDescent="0.35">
      <c r="G1642" s="1"/>
    </row>
    <row r="1643" spans="7:7" x14ac:dyDescent="0.35">
      <c r="G1643" s="1"/>
    </row>
    <row r="1644" spans="7:7" x14ac:dyDescent="0.35">
      <c r="G1644" s="1"/>
    </row>
    <row r="1645" spans="7:7" x14ac:dyDescent="0.35">
      <c r="G1645" s="1"/>
    </row>
    <row r="1646" spans="7:7" x14ac:dyDescent="0.35">
      <c r="G1646" s="1"/>
    </row>
    <row r="1647" spans="7:7" x14ac:dyDescent="0.35">
      <c r="G1647" s="1"/>
    </row>
    <row r="1648" spans="7:7" x14ac:dyDescent="0.35">
      <c r="G1648" s="1"/>
    </row>
    <row r="1649" spans="7:7" x14ac:dyDescent="0.35">
      <c r="G1649" s="1"/>
    </row>
    <row r="1650" spans="7:7" x14ac:dyDescent="0.35">
      <c r="G1650" s="1"/>
    </row>
    <row r="1651" spans="7:7" x14ac:dyDescent="0.35">
      <c r="G1651" s="1"/>
    </row>
    <row r="1652" spans="7:7" x14ac:dyDescent="0.35">
      <c r="G1652" s="1"/>
    </row>
    <row r="1653" spans="7:7" x14ac:dyDescent="0.35">
      <c r="G1653" s="1"/>
    </row>
    <row r="1654" spans="7:7" x14ac:dyDescent="0.35">
      <c r="G1654" s="1"/>
    </row>
    <row r="1655" spans="7:7" x14ac:dyDescent="0.35">
      <c r="G1655" s="1"/>
    </row>
    <row r="1656" spans="7:7" x14ac:dyDescent="0.35">
      <c r="G1656" s="1"/>
    </row>
    <row r="1657" spans="7:7" x14ac:dyDescent="0.35">
      <c r="G1657" s="1"/>
    </row>
    <row r="1658" spans="7:7" x14ac:dyDescent="0.35">
      <c r="G1658" s="1"/>
    </row>
    <row r="1659" spans="7:7" x14ac:dyDescent="0.35">
      <c r="G1659" s="1"/>
    </row>
    <row r="1660" spans="7:7" x14ac:dyDescent="0.35">
      <c r="G1660" s="1"/>
    </row>
    <row r="1661" spans="7:7" x14ac:dyDescent="0.35">
      <c r="G1661" s="1"/>
    </row>
    <row r="1662" spans="7:7" x14ac:dyDescent="0.35">
      <c r="G1662" s="1"/>
    </row>
    <row r="1663" spans="7:7" x14ac:dyDescent="0.35">
      <c r="G1663" s="1"/>
    </row>
    <row r="1664" spans="7:7" x14ac:dyDescent="0.35">
      <c r="G1664" s="1"/>
    </row>
    <row r="1665" spans="7:7" x14ac:dyDescent="0.35">
      <c r="G1665" s="1"/>
    </row>
    <row r="1666" spans="7:7" x14ac:dyDescent="0.35">
      <c r="G1666" s="1"/>
    </row>
    <row r="1667" spans="7:7" x14ac:dyDescent="0.35">
      <c r="G1667" s="1"/>
    </row>
    <row r="1668" spans="7:7" x14ac:dyDescent="0.35">
      <c r="G1668" s="1"/>
    </row>
    <row r="1669" spans="7:7" x14ac:dyDescent="0.35">
      <c r="G1669" s="1"/>
    </row>
    <row r="1670" spans="7:7" x14ac:dyDescent="0.35">
      <c r="G1670" s="1"/>
    </row>
    <row r="1671" spans="7:7" x14ac:dyDescent="0.35">
      <c r="G1671" s="1"/>
    </row>
    <row r="1672" spans="7:7" x14ac:dyDescent="0.35">
      <c r="G1672" s="1"/>
    </row>
    <row r="1673" spans="7:7" x14ac:dyDescent="0.35">
      <c r="G1673" s="1"/>
    </row>
    <row r="1674" spans="7:7" x14ac:dyDescent="0.35">
      <c r="G1674" s="1"/>
    </row>
    <row r="1675" spans="7:7" x14ac:dyDescent="0.35">
      <c r="G1675" s="1"/>
    </row>
    <row r="1676" spans="7:7" x14ac:dyDescent="0.35">
      <c r="G1676" s="1"/>
    </row>
    <row r="1677" spans="7:7" x14ac:dyDescent="0.35">
      <c r="G1677" s="1"/>
    </row>
    <row r="1678" spans="7:7" x14ac:dyDescent="0.35">
      <c r="G1678" s="1"/>
    </row>
    <row r="1679" spans="7:7" x14ac:dyDescent="0.35">
      <c r="G1679" s="1"/>
    </row>
    <row r="1680" spans="7:7" x14ac:dyDescent="0.35">
      <c r="G1680" s="1"/>
    </row>
    <row r="1681" spans="7:7" x14ac:dyDescent="0.35">
      <c r="G1681" s="1"/>
    </row>
    <row r="1682" spans="7:7" x14ac:dyDescent="0.35">
      <c r="G1682" s="1"/>
    </row>
    <row r="1683" spans="7:7" x14ac:dyDescent="0.35">
      <c r="G1683" s="1"/>
    </row>
    <row r="1684" spans="7:7" x14ac:dyDescent="0.35">
      <c r="G1684" s="1"/>
    </row>
    <row r="1685" spans="7:7" x14ac:dyDescent="0.35">
      <c r="G1685" s="1"/>
    </row>
    <row r="1686" spans="7:7" x14ac:dyDescent="0.35">
      <c r="G1686" s="1"/>
    </row>
    <row r="1687" spans="7:7" x14ac:dyDescent="0.35">
      <c r="G1687" s="1"/>
    </row>
    <row r="1688" spans="7:7" x14ac:dyDescent="0.35">
      <c r="G1688" s="1"/>
    </row>
    <row r="1689" spans="7:7" x14ac:dyDescent="0.35">
      <c r="G1689" s="1"/>
    </row>
    <row r="1690" spans="7:7" x14ac:dyDescent="0.35">
      <c r="G1690" s="1"/>
    </row>
    <row r="1691" spans="7:7" x14ac:dyDescent="0.35">
      <c r="G1691" s="1"/>
    </row>
    <row r="1692" spans="7:7" x14ac:dyDescent="0.35">
      <c r="G1692" s="1"/>
    </row>
    <row r="1693" spans="7:7" x14ac:dyDescent="0.35">
      <c r="G1693" s="1"/>
    </row>
    <row r="1694" spans="7:7" x14ac:dyDescent="0.35">
      <c r="G1694" s="1"/>
    </row>
    <row r="1695" spans="7:7" x14ac:dyDescent="0.35">
      <c r="G1695" s="1"/>
    </row>
    <row r="1696" spans="7:7" x14ac:dyDescent="0.35">
      <c r="G1696" s="1"/>
    </row>
    <row r="1697" spans="7:7" x14ac:dyDescent="0.35">
      <c r="G1697" s="1"/>
    </row>
    <row r="1698" spans="7:7" x14ac:dyDescent="0.35">
      <c r="G1698" s="1"/>
    </row>
    <row r="1699" spans="7:7" x14ac:dyDescent="0.35">
      <c r="G1699" s="1"/>
    </row>
    <row r="1700" spans="7:7" x14ac:dyDescent="0.35">
      <c r="G1700" s="1"/>
    </row>
    <row r="1701" spans="7:7" x14ac:dyDescent="0.35">
      <c r="G1701" s="1"/>
    </row>
    <row r="1702" spans="7:7" x14ac:dyDescent="0.35">
      <c r="G1702" s="1"/>
    </row>
    <row r="1703" spans="7:7" x14ac:dyDescent="0.35">
      <c r="G1703" s="1"/>
    </row>
    <row r="1704" spans="7:7" x14ac:dyDescent="0.35">
      <c r="G1704" s="1"/>
    </row>
    <row r="1705" spans="7:7" x14ac:dyDescent="0.35">
      <c r="G1705" s="1"/>
    </row>
    <row r="1706" spans="7:7" x14ac:dyDescent="0.35">
      <c r="G1706" s="1"/>
    </row>
    <row r="1707" spans="7:7" x14ac:dyDescent="0.35">
      <c r="G1707" s="1"/>
    </row>
    <row r="1708" spans="7:7" x14ac:dyDescent="0.35">
      <c r="G1708" s="1"/>
    </row>
    <row r="1709" spans="7:7" x14ac:dyDescent="0.35">
      <c r="G1709" s="1"/>
    </row>
    <row r="1710" spans="7:7" x14ac:dyDescent="0.35">
      <c r="G1710" s="1"/>
    </row>
    <row r="1711" spans="7:7" x14ac:dyDescent="0.35">
      <c r="G1711" s="1"/>
    </row>
    <row r="1712" spans="7:7" x14ac:dyDescent="0.35">
      <c r="G1712" s="1"/>
    </row>
    <row r="1713" spans="7:7" x14ac:dyDescent="0.35">
      <c r="G1713" s="1"/>
    </row>
    <row r="1714" spans="7:7" x14ac:dyDescent="0.35">
      <c r="G1714" s="1"/>
    </row>
    <row r="1715" spans="7:7" x14ac:dyDescent="0.35">
      <c r="G1715" s="1"/>
    </row>
    <row r="1716" spans="7:7" x14ac:dyDescent="0.35">
      <c r="G1716" s="1"/>
    </row>
    <row r="1717" spans="7:7" x14ac:dyDescent="0.35">
      <c r="G1717" s="1"/>
    </row>
    <row r="1718" spans="7:7" x14ac:dyDescent="0.35">
      <c r="G1718" s="1"/>
    </row>
    <row r="1719" spans="7:7" x14ac:dyDescent="0.35">
      <c r="G1719" s="1"/>
    </row>
    <row r="1720" spans="7:7" x14ac:dyDescent="0.35">
      <c r="G1720" s="1"/>
    </row>
    <row r="1721" spans="7:7" x14ac:dyDescent="0.35">
      <c r="G1721" s="1"/>
    </row>
    <row r="1722" spans="7:7" x14ac:dyDescent="0.35">
      <c r="G1722" s="1"/>
    </row>
    <row r="1723" spans="7:7" x14ac:dyDescent="0.35">
      <c r="G1723" s="1"/>
    </row>
    <row r="1724" spans="7:7" x14ac:dyDescent="0.35">
      <c r="G1724" s="1"/>
    </row>
    <row r="1725" spans="7:7" x14ac:dyDescent="0.35">
      <c r="G1725" s="1"/>
    </row>
    <row r="1726" spans="7:7" x14ac:dyDescent="0.35">
      <c r="G1726" s="1"/>
    </row>
    <row r="1727" spans="7:7" x14ac:dyDescent="0.35">
      <c r="G1727" s="1"/>
    </row>
    <row r="1728" spans="7:7" x14ac:dyDescent="0.35">
      <c r="G1728" s="1"/>
    </row>
    <row r="1729" spans="7:7" x14ac:dyDescent="0.35">
      <c r="G1729" s="1"/>
    </row>
    <row r="1730" spans="7:7" x14ac:dyDescent="0.35">
      <c r="G1730" s="1"/>
    </row>
    <row r="1731" spans="7:7" x14ac:dyDescent="0.35">
      <c r="G1731" s="1"/>
    </row>
    <row r="1732" spans="7:7" x14ac:dyDescent="0.35">
      <c r="G1732" s="1"/>
    </row>
    <row r="1733" spans="7:7" x14ac:dyDescent="0.35">
      <c r="G1733" s="1"/>
    </row>
    <row r="1734" spans="7:7" x14ac:dyDescent="0.35">
      <c r="G1734" s="1"/>
    </row>
    <row r="1735" spans="7:7" x14ac:dyDescent="0.35">
      <c r="G1735" s="1"/>
    </row>
    <row r="1736" spans="7:7" x14ac:dyDescent="0.35">
      <c r="G1736" s="1"/>
    </row>
    <row r="1737" spans="7:7" x14ac:dyDescent="0.35">
      <c r="G1737" s="1"/>
    </row>
    <row r="1738" spans="7:7" x14ac:dyDescent="0.35">
      <c r="G1738" s="1"/>
    </row>
    <row r="1739" spans="7:7" x14ac:dyDescent="0.35">
      <c r="G1739" s="1"/>
    </row>
    <row r="1740" spans="7:7" x14ac:dyDescent="0.35">
      <c r="G1740" s="1"/>
    </row>
    <row r="1741" spans="7:7" x14ac:dyDescent="0.35">
      <c r="G1741" s="1"/>
    </row>
    <row r="1742" spans="7:7" x14ac:dyDescent="0.35">
      <c r="G1742" s="1"/>
    </row>
    <row r="1743" spans="7:7" x14ac:dyDescent="0.35">
      <c r="G1743" s="1"/>
    </row>
    <row r="1744" spans="7:7" x14ac:dyDescent="0.35">
      <c r="G1744" s="1"/>
    </row>
    <row r="1745" spans="7:7" x14ac:dyDescent="0.35">
      <c r="G1745" s="1"/>
    </row>
    <row r="1746" spans="7:7" x14ac:dyDescent="0.35">
      <c r="G1746" s="1"/>
    </row>
    <row r="1747" spans="7:7" x14ac:dyDescent="0.35">
      <c r="G1747" s="1"/>
    </row>
    <row r="1748" spans="7:7" x14ac:dyDescent="0.35">
      <c r="G1748" s="1"/>
    </row>
    <row r="1749" spans="7:7" x14ac:dyDescent="0.35">
      <c r="G1749" s="1"/>
    </row>
    <row r="1750" spans="7:7" x14ac:dyDescent="0.35">
      <c r="G1750" s="1"/>
    </row>
    <row r="1751" spans="7:7" x14ac:dyDescent="0.35">
      <c r="G1751" s="1"/>
    </row>
    <row r="1752" spans="7:7" x14ac:dyDescent="0.35">
      <c r="G1752" s="1"/>
    </row>
    <row r="1753" spans="7:7" x14ac:dyDescent="0.35">
      <c r="G1753" s="1"/>
    </row>
    <row r="1754" spans="7:7" x14ac:dyDescent="0.35">
      <c r="G1754" s="1"/>
    </row>
    <row r="1755" spans="7:7" x14ac:dyDescent="0.35">
      <c r="G1755" s="1"/>
    </row>
    <row r="1756" spans="7:7" x14ac:dyDescent="0.35">
      <c r="G1756" s="1"/>
    </row>
    <row r="1757" spans="7:7" x14ac:dyDescent="0.35">
      <c r="G1757" s="1"/>
    </row>
    <row r="1758" spans="7:7" x14ac:dyDescent="0.35">
      <c r="G1758" s="1"/>
    </row>
    <row r="1759" spans="7:7" x14ac:dyDescent="0.35">
      <c r="G1759" s="1"/>
    </row>
    <row r="1760" spans="7:7" x14ac:dyDescent="0.35">
      <c r="G1760" s="1"/>
    </row>
    <row r="1761" spans="7:7" x14ac:dyDescent="0.35">
      <c r="G1761" s="1"/>
    </row>
    <row r="1762" spans="7:7" x14ac:dyDescent="0.35">
      <c r="G1762" s="1"/>
    </row>
    <row r="1763" spans="7:7" x14ac:dyDescent="0.35">
      <c r="G1763" s="1"/>
    </row>
    <row r="1764" spans="7:7" x14ac:dyDescent="0.35">
      <c r="G1764" s="1"/>
    </row>
    <row r="1765" spans="7:7" x14ac:dyDescent="0.35">
      <c r="G1765" s="1"/>
    </row>
    <row r="1766" spans="7:7" x14ac:dyDescent="0.35">
      <c r="G1766" s="1"/>
    </row>
    <row r="1767" spans="7:7" x14ac:dyDescent="0.35">
      <c r="G1767" s="1"/>
    </row>
    <row r="1768" spans="7:7" x14ac:dyDescent="0.35">
      <c r="G1768" s="1"/>
    </row>
    <row r="1769" spans="7:7" x14ac:dyDescent="0.35">
      <c r="G1769" s="1"/>
    </row>
    <row r="1770" spans="7:7" x14ac:dyDescent="0.35">
      <c r="G1770" s="1"/>
    </row>
    <row r="1771" spans="7:7" x14ac:dyDescent="0.35">
      <c r="G1771" s="1"/>
    </row>
    <row r="1772" spans="7:7" x14ac:dyDescent="0.35">
      <c r="G1772" s="1"/>
    </row>
    <row r="1773" spans="7:7" x14ac:dyDescent="0.35">
      <c r="G1773" s="1"/>
    </row>
    <row r="1774" spans="7:7" x14ac:dyDescent="0.35">
      <c r="G1774" s="1"/>
    </row>
    <row r="1775" spans="7:7" x14ac:dyDescent="0.35">
      <c r="G1775" s="1"/>
    </row>
    <row r="1776" spans="7:7" x14ac:dyDescent="0.35">
      <c r="G1776" s="1"/>
    </row>
    <row r="1777" spans="7:7" x14ac:dyDescent="0.35">
      <c r="G1777" s="1"/>
    </row>
    <row r="1778" spans="7:7" x14ac:dyDescent="0.35">
      <c r="G1778" s="1"/>
    </row>
    <row r="1779" spans="7:7" x14ac:dyDescent="0.35">
      <c r="G1779" s="1"/>
    </row>
    <row r="1780" spans="7:7" x14ac:dyDescent="0.35">
      <c r="G1780" s="1"/>
    </row>
    <row r="1781" spans="7:7" x14ac:dyDescent="0.35">
      <c r="G1781" s="1"/>
    </row>
    <row r="1782" spans="7:7" x14ac:dyDescent="0.35">
      <c r="G1782" s="1"/>
    </row>
    <row r="1783" spans="7:7" x14ac:dyDescent="0.35">
      <c r="G1783" s="1"/>
    </row>
    <row r="1784" spans="7:7" x14ac:dyDescent="0.35">
      <c r="G1784" s="1"/>
    </row>
    <row r="1785" spans="7:7" x14ac:dyDescent="0.35">
      <c r="G1785" s="1"/>
    </row>
    <row r="1786" spans="7:7" x14ac:dyDescent="0.35">
      <c r="G1786" s="1"/>
    </row>
    <row r="1787" spans="7:7" x14ac:dyDescent="0.35">
      <c r="G1787" s="1"/>
    </row>
    <row r="1788" spans="7:7" x14ac:dyDescent="0.35">
      <c r="G1788" s="1"/>
    </row>
    <row r="1789" spans="7:7" x14ac:dyDescent="0.35">
      <c r="G1789" s="1"/>
    </row>
    <row r="1790" spans="7:7" x14ac:dyDescent="0.35">
      <c r="G1790" s="1"/>
    </row>
    <row r="1791" spans="7:7" x14ac:dyDescent="0.35">
      <c r="G1791" s="1"/>
    </row>
    <row r="1792" spans="7:7" x14ac:dyDescent="0.35">
      <c r="G1792" s="1"/>
    </row>
    <row r="1793" spans="7:7" x14ac:dyDescent="0.35">
      <c r="G1793" s="1"/>
    </row>
    <row r="1794" spans="7:7" x14ac:dyDescent="0.35">
      <c r="G1794" s="1"/>
    </row>
    <row r="1795" spans="7:7" x14ac:dyDescent="0.35">
      <c r="G1795" s="1"/>
    </row>
    <row r="1796" spans="7:7" x14ac:dyDescent="0.35">
      <c r="G1796" s="1"/>
    </row>
    <row r="1797" spans="7:7" x14ac:dyDescent="0.35">
      <c r="G1797" s="1"/>
    </row>
    <row r="1798" spans="7:7" x14ac:dyDescent="0.35">
      <c r="G1798" s="1"/>
    </row>
    <row r="1799" spans="7:7" x14ac:dyDescent="0.35">
      <c r="G1799" s="1"/>
    </row>
    <row r="1800" spans="7:7" x14ac:dyDescent="0.35">
      <c r="G1800" s="1"/>
    </row>
    <row r="1801" spans="7:7" x14ac:dyDescent="0.35">
      <c r="G1801" s="1"/>
    </row>
    <row r="1802" spans="7:7" x14ac:dyDescent="0.35">
      <c r="G1802" s="1"/>
    </row>
    <row r="1803" spans="7:7" x14ac:dyDescent="0.35">
      <c r="G1803" s="1"/>
    </row>
    <row r="1804" spans="7:7" x14ac:dyDescent="0.35">
      <c r="G1804" s="1"/>
    </row>
    <row r="1805" spans="7:7" x14ac:dyDescent="0.35">
      <c r="G1805" s="1"/>
    </row>
    <row r="1806" spans="7:7" x14ac:dyDescent="0.35">
      <c r="G1806" s="1"/>
    </row>
    <row r="1807" spans="7:7" x14ac:dyDescent="0.35">
      <c r="G1807" s="1"/>
    </row>
    <row r="1808" spans="7:7" x14ac:dyDescent="0.35">
      <c r="G1808" s="1"/>
    </row>
    <row r="1809" spans="7:7" x14ac:dyDescent="0.35">
      <c r="G1809" s="1"/>
    </row>
    <row r="1810" spans="7:7" x14ac:dyDescent="0.35">
      <c r="G1810" s="1"/>
    </row>
    <row r="1811" spans="7:7" x14ac:dyDescent="0.35">
      <c r="G1811" s="1"/>
    </row>
    <row r="1812" spans="7:7" x14ac:dyDescent="0.35">
      <c r="G1812" s="1"/>
    </row>
    <row r="1813" spans="7:7" x14ac:dyDescent="0.35">
      <c r="G1813" s="1"/>
    </row>
    <row r="1814" spans="7:7" x14ac:dyDescent="0.35">
      <c r="G1814" s="1"/>
    </row>
    <row r="1815" spans="7:7" x14ac:dyDescent="0.35">
      <c r="G1815" s="1"/>
    </row>
    <row r="1816" spans="7:7" x14ac:dyDescent="0.35">
      <c r="G1816" s="1"/>
    </row>
    <row r="1817" spans="7:7" x14ac:dyDescent="0.35">
      <c r="G1817" s="1"/>
    </row>
    <row r="1818" spans="7:7" x14ac:dyDescent="0.35">
      <c r="G1818" s="1"/>
    </row>
    <row r="1819" spans="7:7" x14ac:dyDescent="0.35">
      <c r="G1819" s="1"/>
    </row>
    <row r="1820" spans="7:7" x14ac:dyDescent="0.35">
      <c r="G1820" s="1"/>
    </row>
    <row r="1821" spans="7:7" x14ac:dyDescent="0.35">
      <c r="G1821" s="1"/>
    </row>
    <row r="1822" spans="7:7" x14ac:dyDescent="0.35">
      <c r="G1822" s="1"/>
    </row>
    <row r="1823" spans="7:7" x14ac:dyDescent="0.35">
      <c r="G1823" s="1"/>
    </row>
    <row r="1824" spans="7:7" x14ac:dyDescent="0.35">
      <c r="G1824" s="1"/>
    </row>
    <row r="1825" spans="7:7" x14ac:dyDescent="0.35">
      <c r="G1825" s="1"/>
    </row>
    <row r="1826" spans="7:7" x14ac:dyDescent="0.35">
      <c r="G1826" s="1"/>
    </row>
    <row r="1827" spans="7:7" x14ac:dyDescent="0.35">
      <c r="G1827" s="1"/>
    </row>
    <row r="1828" spans="7:7" x14ac:dyDescent="0.35">
      <c r="G1828" s="1"/>
    </row>
    <row r="1829" spans="7:7" x14ac:dyDescent="0.35">
      <c r="G1829" s="1"/>
    </row>
    <row r="1830" spans="7:7" x14ac:dyDescent="0.35">
      <c r="G1830" s="1"/>
    </row>
    <row r="1831" spans="7:7" x14ac:dyDescent="0.35">
      <c r="G1831" s="1"/>
    </row>
    <row r="1832" spans="7:7" x14ac:dyDescent="0.35">
      <c r="G1832" s="1"/>
    </row>
    <row r="1833" spans="7:7" x14ac:dyDescent="0.35">
      <c r="G1833" s="1"/>
    </row>
    <row r="1834" spans="7:7" x14ac:dyDescent="0.35">
      <c r="G1834" s="1"/>
    </row>
    <row r="1835" spans="7:7" x14ac:dyDescent="0.35">
      <c r="G1835" s="1"/>
    </row>
    <row r="1836" spans="7:7" x14ac:dyDescent="0.35">
      <c r="G1836" s="1"/>
    </row>
    <row r="1837" spans="7:7" x14ac:dyDescent="0.35">
      <c r="G1837" s="1"/>
    </row>
    <row r="1838" spans="7:7" x14ac:dyDescent="0.35">
      <c r="G1838" s="1"/>
    </row>
    <row r="1839" spans="7:7" x14ac:dyDescent="0.35">
      <c r="G1839" s="1"/>
    </row>
    <row r="1840" spans="7:7" x14ac:dyDescent="0.35">
      <c r="G1840" s="1"/>
    </row>
    <row r="1841" spans="7:7" x14ac:dyDescent="0.35">
      <c r="G1841" s="1"/>
    </row>
    <row r="1842" spans="7:7" x14ac:dyDescent="0.35">
      <c r="G1842" s="1"/>
    </row>
    <row r="1843" spans="7:7" x14ac:dyDescent="0.35">
      <c r="G1843" s="1"/>
    </row>
    <row r="1844" spans="7:7" x14ac:dyDescent="0.35">
      <c r="G1844" s="1"/>
    </row>
    <row r="1845" spans="7:7" x14ac:dyDescent="0.35">
      <c r="G1845" s="1"/>
    </row>
    <row r="1846" spans="7:7" x14ac:dyDescent="0.35">
      <c r="G1846" s="1"/>
    </row>
    <row r="1847" spans="7:7" x14ac:dyDescent="0.35">
      <c r="G1847" s="1"/>
    </row>
    <row r="1848" spans="7:7" x14ac:dyDescent="0.35">
      <c r="G1848" s="1"/>
    </row>
    <row r="1849" spans="7:7" x14ac:dyDescent="0.35">
      <c r="G1849" s="1"/>
    </row>
    <row r="1850" spans="7:7" x14ac:dyDescent="0.35">
      <c r="G1850" s="1"/>
    </row>
    <row r="1851" spans="7:7" x14ac:dyDescent="0.35">
      <c r="G1851" s="1"/>
    </row>
    <row r="1852" spans="7:7" x14ac:dyDescent="0.35">
      <c r="G1852" s="1"/>
    </row>
    <row r="1853" spans="7:7" x14ac:dyDescent="0.35">
      <c r="G1853" s="1"/>
    </row>
    <row r="1854" spans="7:7" x14ac:dyDescent="0.35">
      <c r="G1854" s="1"/>
    </row>
    <row r="1855" spans="7:7" x14ac:dyDescent="0.35">
      <c r="G1855" s="1"/>
    </row>
    <row r="1856" spans="7:7" x14ac:dyDescent="0.35">
      <c r="G1856" s="1"/>
    </row>
    <row r="1857" spans="7:7" x14ac:dyDescent="0.35">
      <c r="G1857" s="1"/>
    </row>
    <row r="1858" spans="7:7" x14ac:dyDescent="0.35">
      <c r="G1858" s="1"/>
    </row>
    <row r="1859" spans="7:7" x14ac:dyDescent="0.35">
      <c r="G1859" s="1"/>
    </row>
    <row r="1860" spans="7:7" x14ac:dyDescent="0.35">
      <c r="G1860" s="1"/>
    </row>
    <row r="1861" spans="7:7" x14ac:dyDescent="0.35">
      <c r="G1861" s="1"/>
    </row>
    <row r="1862" spans="7:7" x14ac:dyDescent="0.35">
      <c r="G1862" s="1"/>
    </row>
    <row r="1863" spans="7:7" x14ac:dyDescent="0.35">
      <c r="G1863" s="1"/>
    </row>
    <row r="1864" spans="7:7" x14ac:dyDescent="0.35">
      <c r="G1864" s="1"/>
    </row>
    <row r="1865" spans="7:7" x14ac:dyDescent="0.35">
      <c r="G1865" s="1"/>
    </row>
    <row r="1866" spans="7:7" x14ac:dyDescent="0.35">
      <c r="G1866" s="1"/>
    </row>
    <row r="1867" spans="7:7" x14ac:dyDescent="0.35">
      <c r="G1867" s="1"/>
    </row>
    <row r="1868" spans="7:7" x14ac:dyDescent="0.35">
      <c r="G1868" s="1"/>
    </row>
    <row r="1869" spans="7:7" x14ac:dyDescent="0.35">
      <c r="G1869" s="1"/>
    </row>
    <row r="1870" spans="7:7" x14ac:dyDescent="0.35">
      <c r="G1870" s="1"/>
    </row>
    <row r="1871" spans="7:7" x14ac:dyDescent="0.35">
      <c r="G1871" s="1"/>
    </row>
    <row r="1872" spans="7:7" x14ac:dyDescent="0.35">
      <c r="G1872" s="1"/>
    </row>
    <row r="1873" spans="7:7" x14ac:dyDescent="0.35">
      <c r="G1873" s="1"/>
    </row>
    <row r="1874" spans="7:7" x14ac:dyDescent="0.35">
      <c r="G1874" s="1"/>
    </row>
    <row r="1875" spans="7:7" x14ac:dyDescent="0.35">
      <c r="G1875" s="1"/>
    </row>
    <row r="1876" spans="7:7" x14ac:dyDescent="0.35">
      <c r="G1876" s="1"/>
    </row>
    <row r="1877" spans="7:7" x14ac:dyDescent="0.35">
      <c r="G1877" s="1"/>
    </row>
    <row r="1878" spans="7:7" x14ac:dyDescent="0.35">
      <c r="G1878" s="1"/>
    </row>
    <row r="1879" spans="7:7" x14ac:dyDescent="0.35">
      <c r="G1879" s="1"/>
    </row>
    <row r="1880" spans="7:7" x14ac:dyDescent="0.35">
      <c r="G1880" s="1"/>
    </row>
    <row r="1881" spans="7:7" x14ac:dyDescent="0.35">
      <c r="G1881" s="1"/>
    </row>
    <row r="1882" spans="7:7" x14ac:dyDescent="0.35">
      <c r="G1882" s="1"/>
    </row>
    <row r="1883" spans="7:7" x14ac:dyDescent="0.35">
      <c r="G1883" s="1"/>
    </row>
    <row r="1884" spans="7:7" x14ac:dyDescent="0.35">
      <c r="G1884" s="1"/>
    </row>
    <row r="1885" spans="7:7" x14ac:dyDescent="0.35">
      <c r="G1885" s="1"/>
    </row>
    <row r="1886" spans="7:7" x14ac:dyDescent="0.35">
      <c r="G1886" s="1"/>
    </row>
    <row r="1887" spans="7:7" x14ac:dyDescent="0.35">
      <c r="G1887" s="1"/>
    </row>
    <row r="1888" spans="7:7" x14ac:dyDescent="0.35">
      <c r="G1888" s="1"/>
    </row>
    <row r="1889" spans="7:7" x14ac:dyDescent="0.35">
      <c r="G1889" s="1"/>
    </row>
    <row r="1890" spans="7:7" x14ac:dyDescent="0.35">
      <c r="G1890" s="1"/>
    </row>
    <row r="1891" spans="7:7" x14ac:dyDescent="0.35">
      <c r="G1891" s="1"/>
    </row>
    <row r="1892" spans="7:7" x14ac:dyDescent="0.35">
      <c r="G1892" s="1"/>
    </row>
    <row r="1893" spans="7:7" x14ac:dyDescent="0.35">
      <c r="G1893" s="1"/>
    </row>
    <row r="1894" spans="7:7" x14ac:dyDescent="0.35">
      <c r="G1894" s="1"/>
    </row>
    <row r="1895" spans="7:7" x14ac:dyDescent="0.35">
      <c r="G1895" s="1"/>
    </row>
    <row r="1896" spans="7:7" x14ac:dyDescent="0.35">
      <c r="G1896" s="1"/>
    </row>
    <row r="1897" spans="7:7" x14ac:dyDescent="0.35">
      <c r="G1897" s="1"/>
    </row>
    <row r="1898" spans="7:7" x14ac:dyDescent="0.35">
      <c r="G1898" s="1"/>
    </row>
    <row r="1899" spans="7:7" x14ac:dyDescent="0.35">
      <c r="G1899" s="1"/>
    </row>
    <row r="1900" spans="7:7" x14ac:dyDescent="0.35">
      <c r="G1900" s="1"/>
    </row>
    <row r="1901" spans="7:7" x14ac:dyDescent="0.35">
      <c r="G1901" s="1"/>
    </row>
    <row r="1902" spans="7:7" x14ac:dyDescent="0.35">
      <c r="G1902" s="1"/>
    </row>
    <row r="1903" spans="7:7" x14ac:dyDescent="0.35">
      <c r="G1903" s="1"/>
    </row>
    <row r="1904" spans="7:7" x14ac:dyDescent="0.35">
      <c r="G1904" s="1"/>
    </row>
    <row r="1905" spans="7:7" x14ac:dyDescent="0.35">
      <c r="G1905" s="1"/>
    </row>
    <row r="1906" spans="7:7" x14ac:dyDescent="0.35">
      <c r="G1906" s="1"/>
    </row>
    <row r="1907" spans="7:7" x14ac:dyDescent="0.35">
      <c r="G1907" s="1"/>
    </row>
    <row r="1908" spans="7:7" x14ac:dyDescent="0.35">
      <c r="G1908" s="1"/>
    </row>
    <row r="1909" spans="7:7" x14ac:dyDescent="0.35">
      <c r="G1909" s="1"/>
    </row>
    <row r="1910" spans="7:7" x14ac:dyDescent="0.35">
      <c r="G1910" s="1"/>
    </row>
    <row r="1911" spans="7:7" x14ac:dyDescent="0.35">
      <c r="G1911" s="1"/>
    </row>
    <row r="1912" spans="7:7" x14ac:dyDescent="0.35">
      <c r="G1912" s="1"/>
    </row>
    <row r="1913" spans="7:7" x14ac:dyDescent="0.35">
      <c r="G1913" s="1"/>
    </row>
    <row r="1914" spans="7:7" x14ac:dyDescent="0.35">
      <c r="G1914" s="1"/>
    </row>
    <row r="1915" spans="7:7" x14ac:dyDescent="0.35">
      <c r="G1915" s="1"/>
    </row>
    <row r="1916" spans="7:7" x14ac:dyDescent="0.35">
      <c r="G1916" s="1"/>
    </row>
    <row r="1917" spans="7:7" x14ac:dyDescent="0.35">
      <c r="G1917" s="1"/>
    </row>
    <row r="1918" spans="7:7" x14ac:dyDescent="0.35">
      <c r="G1918" s="1"/>
    </row>
    <row r="1919" spans="7:7" x14ac:dyDescent="0.35">
      <c r="G1919" s="1"/>
    </row>
    <row r="1920" spans="7:7" x14ac:dyDescent="0.35">
      <c r="G1920" s="1"/>
    </row>
    <row r="1921" spans="7:7" x14ac:dyDescent="0.35">
      <c r="G1921" s="1"/>
    </row>
    <row r="1922" spans="7:7" x14ac:dyDescent="0.35">
      <c r="G1922" s="1"/>
    </row>
    <row r="1923" spans="7:7" x14ac:dyDescent="0.35">
      <c r="G1923" s="1"/>
    </row>
    <row r="1924" spans="7:7" x14ac:dyDescent="0.35">
      <c r="G1924" s="1"/>
    </row>
    <row r="1925" spans="7:7" x14ac:dyDescent="0.35">
      <c r="G1925" s="1"/>
    </row>
    <row r="1926" spans="7:7" x14ac:dyDescent="0.35">
      <c r="G1926" s="1"/>
    </row>
    <row r="1927" spans="7:7" x14ac:dyDescent="0.35">
      <c r="G1927" s="1"/>
    </row>
    <row r="1928" spans="7:7" x14ac:dyDescent="0.35">
      <c r="G1928" s="1"/>
    </row>
    <row r="1929" spans="7:7" x14ac:dyDescent="0.35">
      <c r="G1929" s="1"/>
    </row>
    <row r="1930" spans="7:7" x14ac:dyDescent="0.35">
      <c r="G1930" s="1"/>
    </row>
    <row r="1931" spans="7:7" x14ac:dyDescent="0.35">
      <c r="G1931" s="1"/>
    </row>
    <row r="1932" spans="7:7" x14ac:dyDescent="0.35">
      <c r="G1932" s="1"/>
    </row>
    <row r="1933" spans="7:7" x14ac:dyDescent="0.35">
      <c r="G1933" s="1"/>
    </row>
    <row r="1934" spans="7:7" x14ac:dyDescent="0.35">
      <c r="G1934" s="1"/>
    </row>
    <row r="1935" spans="7:7" x14ac:dyDescent="0.35">
      <c r="G1935" s="1"/>
    </row>
    <row r="1936" spans="7:7" x14ac:dyDescent="0.35">
      <c r="G1936" s="1"/>
    </row>
    <row r="1937" spans="7:7" x14ac:dyDescent="0.35">
      <c r="G1937" s="1"/>
    </row>
    <row r="1938" spans="7:7" x14ac:dyDescent="0.35">
      <c r="G1938" s="1"/>
    </row>
    <row r="1939" spans="7:7" x14ac:dyDescent="0.35">
      <c r="G1939" s="1"/>
    </row>
    <row r="1940" spans="7:7" x14ac:dyDescent="0.35">
      <c r="G1940" s="1"/>
    </row>
    <row r="1941" spans="7:7" x14ac:dyDescent="0.35">
      <c r="G1941" s="1"/>
    </row>
    <row r="1942" spans="7:7" x14ac:dyDescent="0.35">
      <c r="G1942" s="1"/>
    </row>
    <row r="1943" spans="7:7" x14ac:dyDescent="0.35">
      <c r="G1943" s="1"/>
    </row>
    <row r="1944" spans="7:7" x14ac:dyDescent="0.35">
      <c r="G1944" s="1"/>
    </row>
    <row r="1945" spans="7:7" x14ac:dyDescent="0.35">
      <c r="G1945" s="1"/>
    </row>
    <row r="1946" spans="7:7" x14ac:dyDescent="0.35">
      <c r="G1946" s="1"/>
    </row>
    <row r="1947" spans="7:7" x14ac:dyDescent="0.35">
      <c r="G1947" s="1"/>
    </row>
    <row r="1948" spans="7:7" x14ac:dyDescent="0.35">
      <c r="G1948" s="1"/>
    </row>
    <row r="1949" spans="7:7" x14ac:dyDescent="0.35">
      <c r="G1949" s="1"/>
    </row>
    <row r="1950" spans="7:7" x14ac:dyDescent="0.35">
      <c r="G1950" s="1"/>
    </row>
    <row r="1951" spans="7:7" x14ac:dyDescent="0.35">
      <c r="G1951" s="1"/>
    </row>
    <row r="1952" spans="7:7" x14ac:dyDescent="0.35">
      <c r="G1952" s="1"/>
    </row>
    <row r="1953" spans="7:7" x14ac:dyDescent="0.35">
      <c r="G1953" s="1"/>
    </row>
    <row r="1954" spans="7:7" x14ac:dyDescent="0.35">
      <c r="G1954" s="1"/>
    </row>
    <row r="1955" spans="7:7" x14ac:dyDescent="0.35">
      <c r="G1955" s="1"/>
    </row>
    <row r="1956" spans="7:7" x14ac:dyDescent="0.35">
      <c r="G1956" s="1"/>
    </row>
    <row r="1957" spans="7:7" x14ac:dyDescent="0.35">
      <c r="G1957" s="1"/>
    </row>
    <row r="1958" spans="7:7" x14ac:dyDescent="0.35">
      <c r="G1958" s="1"/>
    </row>
    <row r="1959" spans="7:7" x14ac:dyDescent="0.35">
      <c r="G1959" s="1"/>
    </row>
    <row r="1960" spans="7:7" x14ac:dyDescent="0.35">
      <c r="G1960" s="1"/>
    </row>
    <row r="1961" spans="7:7" x14ac:dyDescent="0.35">
      <c r="G1961" s="1"/>
    </row>
    <row r="1962" spans="7:7" x14ac:dyDescent="0.35">
      <c r="G1962" s="1"/>
    </row>
    <row r="1963" spans="7:7" x14ac:dyDescent="0.35">
      <c r="G1963" s="1"/>
    </row>
    <row r="1964" spans="7:7" x14ac:dyDescent="0.35">
      <c r="G1964" s="1"/>
    </row>
    <row r="1965" spans="7:7" x14ac:dyDescent="0.35">
      <c r="G1965" s="1"/>
    </row>
    <row r="1966" spans="7:7" x14ac:dyDescent="0.35">
      <c r="G1966" s="1"/>
    </row>
    <row r="1967" spans="7:7" x14ac:dyDescent="0.35">
      <c r="G1967" s="1"/>
    </row>
    <row r="1968" spans="7:7" x14ac:dyDescent="0.35">
      <c r="G1968" s="1"/>
    </row>
    <row r="1969" spans="7:7" x14ac:dyDescent="0.35">
      <c r="G1969" s="1"/>
    </row>
    <row r="1970" spans="7:7" x14ac:dyDescent="0.35">
      <c r="G1970" s="1"/>
    </row>
    <row r="1971" spans="7:7" x14ac:dyDescent="0.35">
      <c r="G1971" s="1"/>
    </row>
    <row r="1972" spans="7:7" x14ac:dyDescent="0.35">
      <c r="G1972" s="1"/>
    </row>
    <row r="1973" spans="7:7" x14ac:dyDescent="0.35">
      <c r="G1973" s="1"/>
    </row>
    <row r="1974" spans="7:7" x14ac:dyDescent="0.35">
      <c r="G1974" s="1"/>
    </row>
    <row r="1975" spans="7:7" x14ac:dyDescent="0.35">
      <c r="G1975" s="1"/>
    </row>
    <row r="1976" spans="7:7" x14ac:dyDescent="0.35">
      <c r="G1976" s="1"/>
    </row>
    <row r="1977" spans="7:7" x14ac:dyDescent="0.35">
      <c r="G1977" s="1"/>
    </row>
    <row r="1978" spans="7:7" x14ac:dyDescent="0.35">
      <c r="G1978" s="1"/>
    </row>
    <row r="1979" spans="7:7" x14ac:dyDescent="0.35">
      <c r="G1979" s="1"/>
    </row>
    <row r="1980" spans="7:7" x14ac:dyDescent="0.35">
      <c r="G1980" s="1"/>
    </row>
    <row r="1981" spans="7:7" x14ac:dyDescent="0.35">
      <c r="G1981" s="1"/>
    </row>
    <row r="1982" spans="7:7" x14ac:dyDescent="0.35">
      <c r="G1982" s="1"/>
    </row>
    <row r="1983" spans="7:7" x14ac:dyDescent="0.35">
      <c r="G1983" s="1"/>
    </row>
    <row r="1984" spans="7:7" x14ac:dyDescent="0.35">
      <c r="G1984" s="1"/>
    </row>
    <row r="1985" spans="7:7" x14ac:dyDescent="0.35">
      <c r="G1985" s="1"/>
    </row>
    <row r="1986" spans="7:7" x14ac:dyDescent="0.35">
      <c r="G1986" s="1"/>
    </row>
    <row r="1987" spans="7:7" x14ac:dyDescent="0.35">
      <c r="G1987" s="1"/>
    </row>
    <row r="1988" spans="7:7" x14ac:dyDescent="0.35">
      <c r="G1988" s="1"/>
    </row>
    <row r="1989" spans="7:7" x14ac:dyDescent="0.35">
      <c r="G1989" s="1"/>
    </row>
    <row r="1990" spans="7:7" x14ac:dyDescent="0.35">
      <c r="G1990" s="1"/>
    </row>
    <row r="1991" spans="7:7" x14ac:dyDescent="0.35">
      <c r="G1991" s="1"/>
    </row>
    <row r="1992" spans="7:7" x14ac:dyDescent="0.35">
      <c r="G1992" s="1"/>
    </row>
    <row r="1993" spans="7:7" x14ac:dyDescent="0.35">
      <c r="G1993" s="1"/>
    </row>
    <row r="1994" spans="7:7" x14ac:dyDescent="0.35">
      <c r="G1994" s="1"/>
    </row>
    <row r="1995" spans="7:7" x14ac:dyDescent="0.35">
      <c r="G1995" s="1"/>
    </row>
    <row r="1996" spans="7:7" x14ac:dyDescent="0.35">
      <c r="G1996" s="1"/>
    </row>
    <row r="1997" spans="7:7" x14ac:dyDescent="0.35">
      <c r="G1997" s="1"/>
    </row>
    <row r="1998" spans="7:7" x14ac:dyDescent="0.35">
      <c r="G1998" s="1"/>
    </row>
    <row r="1999" spans="7:7" x14ac:dyDescent="0.35">
      <c r="G1999" s="1"/>
    </row>
    <row r="2000" spans="7:7" x14ac:dyDescent="0.35">
      <c r="G2000" s="1"/>
    </row>
    <row r="2001" spans="7:7" x14ac:dyDescent="0.35">
      <c r="G2001" s="1"/>
    </row>
    <row r="2002" spans="7:7" x14ac:dyDescent="0.35">
      <c r="G2002" s="1"/>
    </row>
    <row r="2003" spans="7:7" x14ac:dyDescent="0.35">
      <c r="G2003" s="1"/>
    </row>
    <row r="2004" spans="7:7" x14ac:dyDescent="0.35">
      <c r="G2004" s="1"/>
    </row>
    <row r="2005" spans="7:7" x14ac:dyDescent="0.35">
      <c r="G2005" s="1"/>
    </row>
    <row r="2006" spans="7:7" x14ac:dyDescent="0.35">
      <c r="G2006" s="1"/>
    </row>
    <row r="2007" spans="7:7" x14ac:dyDescent="0.35">
      <c r="G2007" s="1"/>
    </row>
    <row r="2008" spans="7:7" x14ac:dyDescent="0.35">
      <c r="G2008" s="1"/>
    </row>
    <row r="2009" spans="7:7" x14ac:dyDescent="0.35">
      <c r="G2009" s="1"/>
    </row>
    <row r="2010" spans="7:7" x14ac:dyDescent="0.35">
      <c r="G2010" s="1"/>
    </row>
    <row r="2011" spans="7:7" x14ac:dyDescent="0.35">
      <c r="G2011" s="1"/>
    </row>
    <row r="2012" spans="7:7" x14ac:dyDescent="0.35">
      <c r="G2012" s="1"/>
    </row>
    <row r="2013" spans="7:7" x14ac:dyDescent="0.35">
      <c r="G2013" s="1"/>
    </row>
    <row r="2014" spans="7:7" x14ac:dyDescent="0.35">
      <c r="G2014" s="1"/>
    </row>
    <row r="2015" spans="7:7" x14ac:dyDescent="0.35">
      <c r="G2015" s="1"/>
    </row>
    <row r="2016" spans="7:7" x14ac:dyDescent="0.35">
      <c r="G2016" s="1"/>
    </row>
    <row r="2017" spans="7:7" x14ac:dyDescent="0.35">
      <c r="G2017" s="1"/>
    </row>
    <row r="2018" spans="7:7" x14ac:dyDescent="0.35">
      <c r="G2018" s="1"/>
    </row>
    <row r="2019" spans="7:7" x14ac:dyDescent="0.35">
      <c r="G2019" s="1"/>
    </row>
    <row r="2020" spans="7:7" x14ac:dyDescent="0.35">
      <c r="G2020" s="1"/>
    </row>
    <row r="2021" spans="7:7" x14ac:dyDescent="0.35">
      <c r="G2021" s="1"/>
    </row>
    <row r="2022" spans="7:7" x14ac:dyDescent="0.35">
      <c r="G2022" s="1"/>
    </row>
    <row r="2023" spans="7:7" x14ac:dyDescent="0.35">
      <c r="G2023" s="1"/>
    </row>
    <row r="2024" spans="7:7" x14ac:dyDescent="0.35">
      <c r="G2024" s="1"/>
    </row>
    <row r="2025" spans="7:7" x14ac:dyDescent="0.35">
      <c r="G2025" s="1"/>
    </row>
    <row r="2026" spans="7:7" x14ac:dyDescent="0.35">
      <c r="G2026" s="1"/>
    </row>
    <row r="2027" spans="7:7" x14ac:dyDescent="0.35">
      <c r="G2027" s="1"/>
    </row>
    <row r="2028" spans="7:7" x14ac:dyDescent="0.35">
      <c r="G2028" s="1"/>
    </row>
    <row r="2029" spans="7:7" x14ac:dyDescent="0.35">
      <c r="G2029" s="1"/>
    </row>
    <row r="2030" spans="7:7" x14ac:dyDescent="0.35">
      <c r="G2030" s="1"/>
    </row>
    <row r="2031" spans="7:7" x14ac:dyDescent="0.35">
      <c r="G2031" s="1"/>
    </row>
    <row r="2032" spans="7:7" x14ac:dyDescent="0.35">
      <c r="G2032" s="1"/>
    </row>
    <row r="2033" spans="7:7" x14ac:dyDescent="0.35">
      <c r="G2033" s="1"/>
    </row>
    <row r="2034" spans="7:7" x14ac:dyDescent="0.35">
      <c r="G2034" s="1"/>
    </row>
    <row r="2035" spans="7:7" x14ac:dyDescent="0.35">
      <c r="G2035" s="1"/>
    </row>
    <row r="2036" spans="7:7" x14ac:dyDescent="0.35">
      <c r="G2036" s="1"/>
    </row>
    <row r="2037" spans="7:7" x14ac:dyDescent="0.35">
      <c r="G2037" s="1"/>
    </row>
    <row r="2038" spans="7:7" x14ac:dyDescent="0.35">
      <c r="G2038" s="1"/>
    </row>
    <row r="2039" spans="7:7" x14ac:dyDescent="0.35">
      <c r="G2039" s="1"/>
    </row>
    <row r="2040" spans="7:7" x14ac:dyDescent="0.35">
      <c r="G2040" s="1"/>
    </row>
    <row r="2041" spans="7:7" x14ac:dyDescent="0.35">
      <c r="G2041" s="1"/>
    </row>
    <row r="2042" spans="7:7" x14ac:dyDescent="0.35">
      <c r="G2042" s="1"/>
    </row>
    <row r="2043" spans="7:7" x14ac:dyDescent="0.35">
      <c r="G2043" s="1"/>
    </row>
    <row r="2044" spans="7:7" x14ac:dyDescent="0.35">
      <c r="G2044" s="1"/>
    </row>
    <row r="2045" spans="7:7" x14ac:dyDescent="0.35">
      <c r="G2045" s="1"/>
    </row>
    <row r="2046" spans="7:7" x14ac:dyDescent="0.35">
      <c r="G2046" s="1"/>
    </row>
    <row r="2047" spans="7:7" x14ac:dyDescent="0.35">
      <c r="G2047" s="1"/>
    </row>
    <row r="2048" spans="7:7" x14ac:dyDescent="0.35">
      <c r="G2048" s="1"/>
    </row>
    <row r="2049" spans="7:7" x14ac:dyDescent="0.35">
      <c r="G2049" s="1"/>
    </row>
    <row r="2050" spans="7:7" x14ac:dyDescent="0.35">
      <c r="G2050" s="1"/>
    </row>
    <row r="2051" spans="7:7" x14ac:dyDescent="0.35">
      <c r="G2051" s="1"/>
    </row>
    <row r="2052" spans="7:7" x14ac:dyDescent="0.35">
      <c r="G2052" s="1"/>
    </row>
    <row r="2053" spans="7:7" x14ac:dyDescent="0.35">
      <c r="G2053" s="1"/>
    </row>
    <row r="2054" spans="7:7" x14ac:dyDescent="0.35">
      <c r="G2054" s="1"/>
    </row>
    <row r="2055" spans="7:7" x14ac:dyDescent="0.35">
      <c r="G2055" s="1"/>
    </row>
    <row r="2056" spans="7:7" x14ac:dyDescent="0.35">
      <c r="G2056" s="1"/>
    </row>
    <row r="2057" spans="7:7" x14ac:dyDescent="0.35">
      <c r="G2057" s="1"/>
    </row>
    <row r="2058" spans="7:7" x14ac:dyDescent="0.35">
      <c r="G2058" s="1"/>
    </row>
    <row r="2059" spans="7:7" x14ac:dyDescent="0.35">
      <c r="G2059" s="1"/>
    </row>
    <row r="2060" spans="7:7" x14ac:dyDescent="0.35">
      <c r="G2060" s="1"/>
    </row>
    <row r="2061" spans="7:7" x14ac:dyDescent="0.35">
      <c r="G2061" s="1"/>
    </row>
    <row r="2062" spans="7:7" x14ac:dyDescent="0.35">
      <c r="G2062" s="1"/>
    </row>
    <row r="2063" spans="7:7" x14ac:dyDescent="0.35">
      <c r="G2063" s="1"/>
    </row>
    <row r="2064" spans="7:7" x14ac:dyDescent="0.35">
      <c r="G2064" s="1"/>
    </row>
    <row r="2065" spans="7:7" x14ac:dyDescent="0.35">
      <c r="G2065" s="1"/>
    </row>
    <row r="2066" spans="7:7" x14ac:dyDescent="0.35">
      <c r="G2066" s="1"/>
    </row>
    <row r="2067" spans="7:7" x14ac:dyDescent="0.35">
      <c r="G2067" s="1"/>
    </row>
    <row r="2068" spans="7:7" x14ac:dyDescent="0.35">
      <c r="G2068" s="1"/>
    </row>
    <row r="2069" spans="7:7" x14ac:dyDescent="0.35">
      <c r="G2069" s="1"/>
    </row>
    <row r="2070" spans="7:7" x14ac:dyDescent="0.35">
      <c r="G2070" s="1"/>
    </row>
    <row r="2071" spans="7:7" x14ac:dyDescent="0.35">
      <c r="G2071" s="1"/>
    </row>
    <row r="2072" spans="7:7" x14ac:dyDescent="0.35">
      <c r="G2072" s="1"/>
    </row>
    <row r="2073" spans="7:7" x14ac:dyDescent="0.35">
      <c r="G2073" s="1"/>
    </row>
    <row r="2074" spans="7:7" x14ac:dyDescent="0.35">
      <c r="G2074" s="1"/>
    </row>
    <row r="2075" spans="7:7" x14ac:dyDescent="0.35">
      <c r="G2075" s="1"/>
    </row>
    <row r="2076" spans="7:7" x14ac:dyDescent="0.35">
      <c r="G2076" s="1"/>
    </row>
    <row r="2077" spans="7:7" x14ac:dyDescent="0.35">
      <c r="G2077" s="1"/>
    </row>
    <row r="2078" spans="7:7" x14ac:dyDescent="0.35">
      <c r="G2078" s="1"/>
    </row>
    <row r="2079" spans="7:7" x14ac:dyDescent="0.35">
      <c r="G2079" s="1"/>
    </row>
    <row r="2080" spans="7:7" x14ac:dyDescent="0.35">
      <c r="G2080" s="1"/>
    </row>
    <row r="2081" spans="7:7" x14ac:dyDescent="0.35">
      <c r="G2081" s="1"/>
    </row>
    <row r="2082" spans="7:7" x14ac:dyDescent="0.35">
      <c r="G2082" s="1"/>
    </row>
    <row r="2083" spans="7:7" x14ac:dyDescent="0.35">
      <c r="G2083" s="1"/>
    </row>
    <row r="2084" spans="7:7" x14ac:dyDescent="0.35">
      <c r="G2084" s="1"/>
    </row>
    <row r="2085" spans="7:7" x14ac:dyDescent="0.35">
      <c r="G2085" s="1"/>
    </row>
    <row r="2086" spans="7:7" x14ac:dyDescent="0.35">
      <c r="G2086" s="1"/>
    </row>
    <row r="2087" spans="7:7" x14ac:dyDescent="0.35">
      <c r="G2087" s="1"/>
    </row>
    <row r="2088" spans="7:7" x14ac:dyDescent="0.35">
      <c r="G2088" s="1"/>
    </row>
    <row r="2089" spans="7:7" x14ac:dyDescent="0.35">
      <c r="G2089" s="1"/>
    </row>
    <row r="2090" spans="7:7" x14ac:dyDescent="0.35">
      <c r="G2090" s="1"/>
    </row>
    <row r="2091" spans="7:7" x14ac:dyDescent="0.35">
      <c r="G2091" s="1"/>
    </row>
    <row r="2092" spans="7:7" x14ac:dyDescent="0.35">
      <c r="G2092" s="1"/>
    </row>
    <row r="2093" spans="7:7" x14ac:dyDescent="0.35">
      <c r="G2093" s="1"/>
    </row>
    <row r="2094" spans="7:7" x14ac:dyDescent="0.35">
      <c r="G2094" s="1"/>
    </row>
    <row r="2095" spans="7:7" x14ac:dyDescent="0.35">
      <c r="G2095" s="1"/>
    </row>
    <row r="2096" spans="7:7" x14ac:dyDescent="0.35">
      <c r="G2096" s="1"/>
    </row>
    <row r="2097" spans="7:7" x14ac:dyDescent="0.35">
      <c r="G2097" s="1"/>
    </row>
    <row r="2098" spans="7:7" x14ac:dyDescent="0.35">
      <c r="G2098" s="1"/>
    </row>
    <row r="2099" spans="7:7" x14ac:dyDescent="0.35">
      <c r="G2099" s="1"/>
    </row>
    <row r="2100" spans="7:7" x14ac:dyDescent="0.35">
      <c r="G2100" s="1"/>
    </row>
    <row r="2101" spans="7:7" x14ac:dyDescent="0.35">
      <c r="G2101" s="1"/>
    </row>
    <row r="2102" spans="7:7" x14ac:dyDescent="0.35">
      <c r="G2102" s="1"/>
    </row>
    <row r="2103" spans="7:7" x14ac:dyDescent="0.35">
      <c r="G2103" s="1"/>
    </row>
    <row r="2104" spans="7:7" x14ac:dyDescent="0.35">
      <c r="G2104" s="1"/>
    </row>
    <row r="2105" spans="7:7" x14ac:dyDescent="0.35">
      <c r="G2105" s="1"/>
    </row>
    <row r="2106" spans="7:7" x14ac:dyDescent="0.35">
      <c r="G2106" s="1"/>
    </row>
    <row r="2107" spans="7:7" x14ac:dyDescent="0.35">
      <c r="G2107" s="1"/>
    </row>
    <row r="2108" spans="7:7" x14ac:dyDescent="0.35">
      <c r="G2108" s="1"/>
    </row>
    <row r="2109" spans="7:7" x14ac:dyDescent="0.35">
      <c r="G2109" s="1"/>
    </row>
    <row r="2110" spans="7:7" x14ac:dyDescent="0.35">
      <c r="G2110" s="1"/>
    </row>
    <row r="2111" spans="7:7" x14ac:dyDescent="0.35">
      <c r="G2111" s="1"/>
    </row>
    <row r="2112" spans="7:7" x14ac:dyDescent="0.35">
      <c r="G2112" s="1"/>
    </row>
    <row r="2113" spans="7:7" x14ac:dyDescent="0.35">
      <c r="G2113" s="1"/>
    </row>
    <row r="2114" spans="7:7" x14ac:dyDescent="0.35">
      <c r="G2114" s="1"/>
    </row>
    <row r="2115" spans="7:7" x14ac:dyDescent="0.35">
      <c r="G2115" s="1"/>
    </row>
    <row r="2116" spans="7:7" x14ac:dyDescent="0.35">
      <c r="G2116" s="1"/>
    </row>
    <row r="2117" spans="7:7" x14ac:dyDescent="0.35">
      <c r="G2117" s="1"/>
    </row>
    <row r="2118" spans="7:7" x14ac:dyDescent="0.35">
      <c r="G2118" s="1"/>
    </row>
    <row r="2119" spans="7:7" x14ac:dyDescent="0.35">
      <c r="G2119" s="1"/>
    </row>
    <row r="2120" spans="7:7" x14ac:dyDescent="0.35">
      <c r="G2120" s="1"/>
    </row>
    <row r="2121" spans="7:7" x14ac:dyDescent="0.35">
      <c r="G2121" s="1"/>
    </row>
    <row r="2122" spans="7:7" x14ac:dyDescent="0.35">
      <c r="G2122" s="1"/>
    </row>
    <row r="2123" spans="7:7" x14ac:dyDescent="0.35">
      <c r="G2123" s="1"/>
    </row>
    <row r="2124" spans="7:7" x14ac:dyDescent="0.35">
      <c r="G2124" s="1"/>
    </row>
    <row r="2125" spans="7:7" x14ac:dyDescent="0.35">
      <c r="G2125" s="1"/>
    </row>
    <row r="2126" spans="7:7" x14ac:dyDescent="0.35">
      <c r="G2126" s="1"/>
    </row>
    <row r="2127" spans="7:7" x14ac:dyDescent="0.35">
      <c r="G2127" s="1"/>
    </row>
    <row r="2128" spans="7:7" x14ac:dyDescent="0.35">
      <c r="G2128" s="1"/>
    </row>
    <row r="2129" spans="7:7" x14ac:dyDescent="0.35">
      <c r="G2129" s="1"/>
    </row>
    <row r="2130" spans="7:7" x14ac:dyDescent="0.35">
      <c r="G2130" s="1"/>
    </row>
    <row r="2131" spans="7:7" x14ac:dyDescent="0.35">
      <c r="G2131" s="1"/>
    </row>
    <row r="2132" spans="7:7" x14ac:dyDescent="0.35">
      <c r="G2132" s="1"/>
    </row>
    <row r="2133" spans="7:7" x14ac:dyDescent="0.35">
      <c r="G2133" s="1"/>
    </row>
    <row r="2134" spans="7:7" x14ac:dyDescent="0.35">
      <c r="G2134" s="1"/>
    </row>
    <row r="2135" spans="7:7" x14ac:dyDescent="0.35">
      <c r="G2135" s="1"/>
    </row>
    <row r="2136" spans="7:7" x14ac:dyDescent="0.35">
      <c r="G2136" s="1"/>
    </row>
    <row r="2137" spans="7:7" x14ac:dyDescent="0.35">
      <c r="G2137" s="1"/>
    </row>
    <row r="2138" spans="7:7" x14ac:dyDescent="0.35">
      <c r="G2138" s="1"/>
    </row>
    <row r="2139" spans="7:7" x14ac:dyDescent="0.35">
      <c r="G2139" s="1"/>
    </row>
    <row r="2140" spans="7:7" x14ac:dyDescent="0.35">
      <c r="G2140" s="1"/>
    </row>
    <row r="2141" spans="7:7" x14ac:dyDescent="0.35">
      <c r="G2141" s="1"/>
    </row>
    <row r="2142" spans="7:7" x14ac:dyDescent="0.35">
      <c r="G2142" s="1"/>
    </row>
    <row r="2143" spans="7:7" x14ac:dyDescent="0.35">
      <c r="G2143" s="1"/>
    </row>
    <row r="2144" spans="7:7" x14ac:dyDescent="0.35">
      <c r="G2144" s="1"/>
    </row>
    <row r="2145" spans="7:7" x14ac:dyDescent="0.35">
      <c r="G2145" s="1"/>
    </row>
    <row r="2146" spans="7:7" x14ac:dyDescent="0.35">
      <c r="G2146" s="1"/>
    </row>
    <row r="2147" spans="7:7" x14ac:dyDescent="0.35">
      <c r="G2147" s="1"/>
    </row>
    <row r="2148" spans="7:7" x14ac:dyDescent="0.35">
      <c r="G2148" s="1"/>
    </row>
    <row r="2149" spans="7:7" x14ac:dyDescent="0.35">
      <c r="G2149" s="1"/>
    </row>
    <row r="2150" spans="7:7" x14ac:dyDescent="0.35">
      <c r="G2150" s="1"/>
    </row>
    <row r="2151" spans="7:7" x14ac:dyDescent="0.35">
      <c r="G2151" s="1"/>
    </row>
    <row r="2152" spans="7:7" x14ac:dyDescent="0.35">
      <c r="G2152" s="1"/>
    </row>
    <row r="2153" spans="7:7" x14ac:dyDescent="0.35">
      <c r="G2153" s="1"/>
    </row>
    <row r="2154" spans="7:7" x14ac:dyDescent="0.35">
      <c r="G2154" s="1"/>
    </row>
    <row r="2155" spans="7:7" x14ac:dyDescent="0.35">
      <c r="G2155" s="1"/>
    </row>
    <row r="2156" spans="7:7" x14ac:dyDescent="0.35">
      <c r="G2156" s="1"/>
    </row>
    <row r="2157" spans="7:7" x14ac:dyDescent="0.35">
      <c r="G2157" s="1"/>
    </row>
    <row r="2158" spans="7:7" x14ac:dyDescent="0.35">
      <c r="G2158" s="1"/>
    </row>
    <row r="2159" spans="7:7" x14ac:dyDescent="0.35">
      <c r="G2159" s="1"/>
    </row>
    <row r="2160" spans="7:7" x14ac:dyDescent="0.35">
      <c r="G2160" s="1"/>
    </row>
    <row r="2161" spans="7:7" x14ac:dyDescent="0.35">
      <c r="G2161" s="1"/>
    </row>
    <row r="2162" spans="7:7" x14ac:dyDescent="0.35">
      <c r="G2162" s="1"/>
    </row>
    <row r="2163" spans="7:7" x14ac:dyDescent="0.35">
      <c r="G2163" s="1"/>
    </row>
    <row r="2164" spans="7:7" x14ac:dyDescent="0.35">
      <c r="G2164" s="1"/>
    </row>
    <row r="2165" spans="7:7" x14ac:dyDescent="0.35">
      <c r="G2165" s="1"/>
    </row>
    <row r="2166" spans="7:7" x14ac:dyDescent="0.35">
      <c r="G2166" s="1"/>
    </row>
    <row r="2167" spans="7:7" x14ac:dyDescent="0.35">
      <c r="G2167" s="1"/>
    </row>
    <row r="2168" spans="7:7" x14ac:dyDescent="0.35">
      <c r="G2168" s="1"/>
    </row>
    <row r="2169" spans="7:7" x14ac:dyDescent="0.35">
      <c r="G2169" s="1"/>
    </row>
    <row r="2170" spans="7:7" x14ac:dyDescent="0.35">
      <c r="G2170" s="1"/>
    </row>
    <row r="2171" spans="7:7" x14ac:dyDescent="0.35">
      <c r="G2171" s="1"/>
    </row>
    <row r="2172" spans="7:7" x14ac:dyDescent="0.35">
      <c r="G2172" s="1"/>
    </row>
    <row r="2173" spans="7:7" x14ac:dyDescent="0.35">
      <c r="G2173" s="1"/>
    </row>
    <row r="2174" spans="7:7" x14ac:dyDescent="0.35">
      <c r="G2174" s="1"/>
    </row>
    <row r="2175" spans="7:7" x14ac:dyDescent="0.35">
      <c r="G2175" s="1"/>
    </row>
    <row r="2176" spans="7:7" x14ac:dyDescent="0.35">
      <c r="G2176" s="1"/>
    </row>
    <row r="2177" spans="7:7" x14ac:dyDescent="0.35">
      <c r="G2177" s="1"/>
    </row>
    <row r="2178" spans="7:7" x14ac:dyDescent="0.35">
      <c r="G2178" s="1"/>
    </row>
    <row r="2179" spans="7:7" x14ac:dyDescent="0.35">
      <c r="G2179" s="1"/>
    </row>
    <row r="2180" spans="7:7" x14ac:dyDescent="0.35">
      <c r="G2180" s="1"/>
    </row>
    <row r="2181" spans="7:7" x14ac:dyDescent="0.35">
      <c r="G2181" s="1"/>
    </row>
    <row r="2182" spans="7:7" x14ac:dyDescent="0.35">
      <c r="G2182" s="1"/>
    </row>
    <row r="2183" spans="7:7" x14ac:dyDescent="0.35">
      <c r="G2183" s="1"/>
    </row>
    <row r="2184" spans="7:7" x14ac:dyDescent="0.35">
      <c r="G2184" s="1"/>
    </row>
    <row r="2185" spans="7:7" x14ac:dyDescent="0.35">
      <c r="G2185" s="1"/>
    </row>
    <row r="2186" spans="7:7" x14ac:dyDescent="0.35">
      <c r="G2186" s="1"/>
    </row>
    <row r="2187" spans="7:7" x14ac:dyDescent="0.35">
      <c r="G2187" s="1"/>
    </row>
    <row r="2188" spans="7:7" x14ac:dyDescent="0.35">
      <c r="G2188" s="1"/>
    </row>
    <row r="2189" spans="7:7" x14ac:dyDescent="0.35">
      <c r="G2189" s="1"/>
    </row>
    <row r="2190" spans="7:7" x14ac:dyDescent="0.35">
      <c r="G2190" s="1"/>
    </row>
    <row r="2191" spans="7:7" x14ac:dyDescent="0.35">
      <c r="G2191" s="1"/>
    </row>
    <row r="2192" spans="7:7" x14ac:dyDescent="0.35">
      <c r="G2192" s="1"/>
    </row>
    <row r="2193" spans="7:7" x14ac:dyDescent="0.35">
      <c r="G2193" s="1"/>
    </row>
    <row r="2194" spans="7:7" x14ac:dyDescent="0.35">
      <c r="G2194" s="1"/>
    </row>
    <row r="2195" spans="7:7" x14ac:dyDescent="0.35">
      <c r="G2195" s="1"/>
    </row>
    <row r="2196" spans="7:7" x14ac:dyDescent="0.35">
      <c r="G2196" s="1"/>
    </row>
    <row r="2197" spans="7:7" x14ac:dyDescent="0.35">
      <c r="G2197" s="1"/>
    </row>
    <row r="2198" spans="7:7" x14ac:dyDescent="0.35">
      <c r="G2198" s="1"/>
    </row>
    <row r="2199" spans="7:7" x14ac:dyDescent="0.35">
      <c r="G2199" s="1"/>
    </row>
    <row r="2200" spans="7:7" x14ac:dyDescent="0.35">
      <c r="G2200" s="1"/>
    </row>
    <row r="2201" spans="7:7" x14ac:dyDescent="0.35">
      <c r="G2201" s="1"/>
    </row>
    <row r="2202" spans="7:7" x14ac:dyDescent="0.35">
      <c r="G2202" s="1"/>
    </row>
    <row r="2203" spans="7:7" x14ac:dyDescent="0.35">
      <c r="G2203" s="1"/>
    </row>
    <row r="2204" spans="7:7" x14ac:dyDescent="0.35">
      <c r="G2204" s="1"/>
    </row>
    <row r="2205" spans="7:7" x14ac:dyDescent="0.35">
      <c r="G2205" s="1"/>
    </row>
    <row r="2206" spans="7:7" x14ac:dyDescent="0.35">
      <c r="G2206" s="1"/>
    </row>
    <row r="2207" spans="7:7" x14ac:dyDescent="0.35">
      <c r="G2207" s="1"/>
    </row>
    <row r="2208" spans="7:7" x14ac:dyDescent="0.35">
      <c r="G2208" s="1"/>
    </row>
    <row r="2209" spans="7:7" x14ac:dyDescent="0.35">
      <c r="G2209" s="1"/>
    </row>
    <row r="2210" spans="7:7" x14ac:dyDescent="0.35">
      <c r="G2210" s="1"/>
    </row>
    <row r="2211" spans="7:7" x14ac:dyDescent="0.35">
      <c r="G2211" s="1"/>
    </row>
    <row r="2212" spans="7:7" x14ac:dyDescent="0.35">
      <c r="G2212" s="1"/>
    </row>
    <row r="2213" spans="7:7" x14ac:dyDescent="0.35">
      <c r="G2213" s="1"/>
    </row>
    <row r="2214" spans="7:7" x14ac:dyDescent="0.35">
      <c r="G2214" s="1"/>
    </row>
    <row r="2215" spans="7:7" x14ac:dyDescent="0.35">
      <c r="G2215" s="1"/>
    </row>
    <row r="2216" spans="7:7" x14ac:dyDescent="0.35">
      <c r="G2216" s="1"/>
    </row>
    <row r="2217" spans="7:7" x14ac:dyDescent="0.35">
      <c r="G2217" s="1"/>
    </row>
    <row r="2218" spans="7:7" x14ac:dyDescent="0.35">
      <c r="G2218" s="1"/>
    </row>
    <row r="2219" spans="7:7" x14ac:dyDescent="0.35">
      <c r="G2219" s="1"/>
    </row>
    <row r="2220" spans="7:7" x14ac:dyDescent="0.35">
      <c r="G2220" s="1"/>
    </row>
    <row r="2221" spans="7:7" x14ac:dyDescent="0.35">
      <c r="G2221" s="1"/>
    </row>
    <row r="2222" spans="7:7" x14ac:dyDescent="0.35">
      <c r="G2222" s="1"/>
    </row>
    <row r="2223" spans="7:7" x14ac:dyDescent="0.35">
      <c r="G2223" s="1"/>
    </row>
    <row r="2224" spans="7:7" x14ac:dyDescent="0.35">
      <c r="G2224" s="1"/>
    </row>
    <row r="2225" spans="7:7" x14ac:dyDescent="0.35">
      <c r="G2225" s="1"/>
    </row>
    <row r="2226" spans="7:7" x14ac:dyDescent="0.35">
      <c r="G2226" s="1"/>
    </row>
    <row r="2227" spans="7:7" x14ac:dyDescent="0.35">
      <c r="G2227" s="1"/>
    </row>
    <row r="2228" spans="7:7" x14ac:dyDescent="0.35">
      <c r="G2228" s="1"/>
    </row>
    <row r="2229" spans="7:7" x14ac:dyDescent="0.35">
      <c r="G2229" s="1"/>
    </row>
    <row r="2230" spans="7:7" x14ac:dyDescent="0.35">
      <c r="G2230" s="1"/>
    </row>
    <row r="2231" spans="7:7" x14ac:dyDescent="0.35">
      <c r="G2231" s="1"/>
    </row>
    <row r="2232" spans="7:7" x14ac:dyDescent="0.35">
      <c r="G2232" s="1"/>
    </row>
    <row r="2233" spans="7:7" x14ac:dyDescent="0.35">
      <c r="G2233" s="1"/>
    </row>
    <row r="2234" spans="7:7" x14ac:dyDescent="0.35">
      <c r="G2234" s="1"/>
    </row>
    <row r="2235" spans="7:7" x14ac:dyDescent="0.35">
      <c r="G2235" s="1"/>
    </row>
    <row r="2236" spans="7:7" x14ac:dyDescent="0.35">
      <c r="G2236" s="1"/>
    </row>
    <row r="2237" spans="7:7" x14ac:dyDescent="0.35">
      <c r="G2237" s="1"/>
    </row>
    <row r="2238" spans="7:7" x14ac:dyDescent="0.35">
      <c r="G2238" s="1"/>
    </row>
    <row r="2239" spans="7:7" x14ac:dyDescent="0.35">
      <c r="G2239" s="1"/>
    </row>
    <row r="2240" spans="7:7" x14ac:dyDescent="0.35">
      <c r="G2240" s="1"/>
    </row>
    <row r="2241" spans="7:7" x14ac:dyDescent="0.35">
      <c r="G2241" s="1"/>
    </row>
    <row r="2242" spans="7:7" x14ac:dyDescent="0.35">
      <c r="G2242" s="1"/>
    </row>
    <row r="2243" spans="7:7" x14ac:dyDescent="0.35">
      <c r="G2243" s="1"/>
    </row>
    <row r="2244" spans="7:7" x14ac:dyDescent="0.35">
      <c r="G2244" s="1"/>
    </row>
    <row r="2245" spans="7:7" x14ac:dyDescent="0.35">
      <c r="G2245" s="1"/>
    </row>
    <row r="2246" spans="7:7" x14ac:dyDescent="0.35">
      <c r="G2246" s="1"/>
    </row>
    <row r="2247" spans="7:7" x14ac:dyDescent="0.35">
      <c r="G2247" s="1"/>
    </row>
    <row r="2248" spans="7:7" x14ac:dyDescent="0.35">
      <c r="G2248" s="1"/>
    </row>
    <row r="2249" spans="7:7" x14ac:dyDescent="0.35">
      <c r="G2249" s="1"/>
    </row>
    <row r="2250" spans="7:7" x14ac:dyDescent="0.35">
      <c r="G2250" s="1"/>
    </row>
    <row r="2251" spans="7:7" x14ac:dyDescent="0.35">
      <c r="G2251" s="1"/>
    </row>
    <row r="2252" spans="7:7" x14ac:dyDescent="0.35">
      <c r="G2252" s="1"/>
    </row>
    <row r="2253" spans="7:7" x14ac:dyDescent="0.35">
      <c r="G2253" s="1"/>
    </row>
    <row r="2254" spans="7:7" x14ac:dyDescent="0.35">
      <c r="G2254" s="1"/>
    </row>
    <row r="2255" spans="7:7" x14ac:dyDescent="0.35">
      <c r="G2255" s="1"/>
    </row>
    <row r="2256" spans="7:7" x14ac:dyDescent="0.35">
      <c r="G2256" s="1"/>
    </row>
    <row r="2257" spans="7:7" x14ac:dyDescent="0.35">
      <c r="G2257" s="1"/>
    </row>
    <row r="2258" spans="7:7" x14ac:dyDescent="0.35">
      <c r="G2258" s="1"/>
    </row>
    <row r="2259" spans="7:7" x14ac:dyDescent="0.35">
      <c r="G2259" s="1"/>
    </row>
    <row r="2260" spans="7:7" x14ac:dyDescent="0.35">
      <c r="G2260" s="1"/>
    </row>
    <row r="2261" spans="7:7" x14ac:dyDescent="0.35">
      <c r="G2261" s="1"/>
    </row>
    <row r="2262" spans="7:7" x14ac:dyDescent="0.35">
      <c r="G2262" s="1"/>
    </row>
    <row r="2263" spans="7:7" x14ac:dyDescent="0.35">
      <c r="G2263" s="1"/>
    </row>
    <row r="2264" spans="7:7" x14ac:dyDescent="0.35">
      <c r="G2264" s="1"/>
    </row>
    <row r="2265" spans="7:7" x14ac:dyDescent="0.35">
      <c r="G2265" s="1"/>
    </row>
    <row r="2266" spans="7:7" x14ac:dyDescent="0.35">
      <c r="G2266" s="1"/>
    </row>
    <row r="2267" spans="7:7" x14ac:dyDescent="0.35">
      <c r="G2267" s="1"/>
    </row>
    <row r="2268" spans="7:7" x14ac:dyDescent="0.35">
      <c r="G2268" s="1"/>
    </row>
    <row r="2269" spans="7:7" x14ac:dyDescent="0.35">
      <c r="G2269" s="1"/>
    </row>
    <row r="2270" spans="7:7" x14ac:dyDescent="0.35">
      <c r="G2270" s="1"/>
    </row>
    <row r="2271" spans="7:7" x14ac:dyDescent="0.35">
      <c r="G2271" s="1"/>
    </row>
    <row r="2272" spans="7:7" x14ac:dyDescent="0.35">
      <c r="G2272" s="1"/>
    </row>
    <row r="2273" spans="7:7" x14ac:dyDescent="0.35">
      <c r="G2273" s="1"/>
    </row>
    <row r="2274" spans="7:7" x14ac:dyDescent="0.35">
      <c r="G2274" s="1"/>
    </row>
    <row r="2275" spans="7:7" x14ac:dyDescent="0.35">
      <c r="G2275" s="1"/>
    </row>
    <row r="2276" spans="7:7" x14ac:dyDescent="0.35">
      <c r="G2276" s="1"/>
    </row>
    <row r="2277" spans="7:7" x14ac:dyDescent="0.35">
      <c r="G2277" s="1"/>
    </row>
    <row r="2278" spans="7:7" x14ac:dyDescent="0.35">
      <c r="G2278" s="1"/>
    </row>
    <row r="2279" spans="7:7" x14ac:dyDescent="0.35">
      <c r="G2279" s="1"/>
    </row>
    <row r="2280" spans="7:7" x14ac:dyDescent="0.35">
      <c r="G2280" s="1"/>
    </row>
    <row r="2281" spans="7:7" x14ac:dyDescent="0.35">
      <c r="G2281" s="1"/>
    </row>
    <row r="2282" spans="7:7" x14ac:dyDescent="0.35">
      <c r="G2282" s="1"/>
    </row>
    <row r="2283" spans="7:7" x14ac:dyDescent="0.35">
      <c r="G2283" s="1"/>
    </row>
    <row r="2284" spans="7:7" x14ac:dyDescent="0.35">
      <c r="G2284" s="1"/>
    </row>
    <row r="2285" spans="7:7" x14ac:dyDescent="0.35">
      <c r="G2285" s="1"/>
    </row>
    <row r="2286" spans="7:7" x14ac:dyDescent="0.35">
      <c r="G2286" s="1"/>
    </row>
    <row r="2287" spans="7:7" x14ac:dyDescent="0.35">
      <c r="G2287" s="1"/>
    </row>
    <row r="2288" spans="7:7" x14ac:dyDescent="0.35">
      <c r="G2288" s="1"/>
    </row>
    <row r="2289" spans="7:7" x14ac:dyDescent="0.35">
      <c r="G2289" s="1"/>
    </row>
    <row r="2290" spans="7:7" x14ac:dyDescent="0.35">
      <c r="G2290" s="1"/>
    </row>
    <row r="2291" spans="7:7" x14ac:dyDescent="0.35">
      <c r="G2291" s="1"/>
    </row>
    <row r="2292" spans="7:7" x14ac:dyDescent="0.35">
      <c r="G2292" s="1"/>
    </row>
    <row r="2293" spans="7:7" x14ac:dyDescent="0.35">
      <c r="G2293" s="1"/>
    </row>
    <row r="2294" spans="7:7" x14ac:dyDescent="0.35">
      <c r="G2294" s="1"/>
    </row>
    <row r="2295" spans="7:7" x14ac:dyDescent="0.35">
      <c r="G2295" s="1"/>
    </row>
    <row r="2296" spans="7:7" x14ac:dyDescent="0.35">
      <c r="G2296" s="1"/>
    </row>
    <row r="2297" spans="7:7" x14ac:dyDescent="0.35">
      <c r="G2297" s="1"/>
    </row>
    <row r="2298" spans="7:7" x14ac:dyDescent="0.35">
      <c r="G2298" s="1"/>
    </row>
    <row r="2299" spans="7:7" x14ac:dyDescent="0.35">
      <c r="G2299" s="1"/>
    </row>
    <row r="2300" spans="7:7" x14ac:dyDescent="0.35">
      <c r="G2300" s="1"/>
    </row>
    <row r="2301" spans="7:7" x14ac:dyDescent="0.35">
      <c r="G2301" s="1"/>
    </row>
    <row r="2302" spans="7:7" x14ac:dyDescent="0.35">
      <c r="G2302" s="1"/>
    </row>
    <row r="2303" spans="7:7" x14ac:dyDescent="0.35">
      <c r="G2303" s="1"/>
    </row>
    <row r="2304" spans="7:7" x14ac:dyDescent="0.35">
      <c r="G2304" s="1"/>
    </row>
    <row r="2305" spans="7:7" x14ac:dyDescent="0.35">
      <c r="G2305" s="1"/>
    </row>
    <row r="2306" spans="7:7" x14ac:dyDescent="0.35">
      <c r="G2306" s="1"/>
    </row>
    <row r="2307" spans="7:7" x14ac:dyDescent="0.35">
      <c r="G2307" s="1"/>
    </row>
    <row r="2308" spans="7:7" x14ac:dyDescent="0.35">
      <c r="G2308" s="1"/>
    </row>
    <row r="2309" spans="7:7" x14ac:dyDescent="0.35">
      <c r="G2309" s="1"/>
    </row>
    <row r="2310" spans="7:7" x14ac:dyDescent="0.35">
      <c r="G2310" s="1"/>
    </row>
    <row r="2311" spans="7:7" x14ac:dyDescent="0.35">
      <c r="G2311" s="1"/>
    </row>
    <row r="2312" spans="7:7" x14ac:dyDescent="0.35">
      <c r="G2312" s="1"/>
    </row>
    <row r="2313" spans="7:7" x14ac:dyDescent="0.35">
      <c r="G2313" s="1"/>
    </row>
    <row r="2314" spans="7:7" x14ac:dyDescent="0.35">
      <c r="G2314" s="1"/>
    </row>
    <row r="2315" spans="7:7" x14ac:dyDescent="0.35">
      <c r="G2315" s="1"/>
    </row>
    <row r="2316" spans="7:7" x14ac:dyDescent="0.35">
      <c r="G2316" s="1"/>
    </row>
    <row r="2317" spans="7:7" x14ac:dyDescent="0.35">
      <c r="G2317" s="1"/>
    </row>
    <row r="2318" spans="7:7" x14ac:dyDescent="0.35">
      <c r="G2318" s="1"/>
    </row>
    <row r="2319" spans="7:7" x14ac:dyDescent="0.35">
      <c r="G2319" s="1"/>
    </row>
    <row r="2320" spans="7:7" x14ac:dyDescent="0.35">
      <c r="G2320" s="1"/>
    </row>
    <row r="2321" spans="7:7" x14ac:dyDescent="0.35">
      <c r="G2321" s="1"/>
    </row>
    <row r="2322" spans="7:7" x14ac:dyDescent="0.35">
      <c r="G2322" s="1"/>
    </row>
    <row r="2323" spans="7:7" x14ac:dyDescent="0.35">
      <c r="G2323" s="1"/>
    </row>
    <row r="2324" spans="7:7" x14ac:dyDescent="0.35">
      <c r="G2324" s="1"/>
    </row>
    <row r="2325" spans="7:7" x14ac:dyDescent="0.35">
      <c r="G2325" s="1"/>
    </row>
    <row r="2326" spans="7:7" x14ac:dyDescent="0.35">
      <c r="G2326" s="1"/>
    </row>
    <row r="2327" spans="7:7" x14ac:dyDescent="0.35">
      <c r="G2327" s="1"/>
    </row>
    <row r="2328" spans="7:7" x14ac:dyDescent="0.35">
      <c r="G2328" s="1"/>
    </row>
    <row r="2329" spans="7:7" x14ac:dyDescent="0.35">
      <c r="G2329" s="1"/>
    </row>
    <row r="2330" spans="7:7" x14ac:dyDescent="0.35">
      <c r="G2330" s="1"/>
    </row>
    <row r="2331" spans="7:7" x14ac:dyDescent="0.35">
      <c r="G2331" s="1"/>
    </row>
    <row r="2332" spans="7:7" x14ac:dyDescent="0.35">
      <c r="G2332" s="1"/>
    </row>
    <row r="2333" spans="7:7" x14ac:dyDescent="0.35">
      <c r="G2333" s="1"/>
    </row>
    <row r="2334" spans="7:7" x14ac:dyDescent="0.35">
      <c r="G2334" s="1"/>
    </row>
    <row r="2335" spans="7:7" x14ac:dyDescent="0.35">
      <c r="G2335" s="1"/>
    </row>
    <row r="2336" spans="7:7" x14ac:dyDescent="0.35">
      <c r="G2336" s="1"/>
    </row>
    <row r="2337" spans="7:7" x14ac:dyDescent="0.35">
      <c r="G2337" s="1"/>
    </row>
    <row r="2338" spans="7:7" x14ac:dyDescent="0.35">
      <c r="G2338" s="1"/>
    </row>
    <row r="2339" spans="7:7" x14ac:dyDescent="0.35">
      <c r="G2339" s="1"/>
    </row>
    <row r="2340" spans="7:7" x14ac:dyDescent="0.35">
      <c r="G2340" s="1"/>
    </row>
    <row r="2341" spans="7:7" x14ac:dyDescent="0.35">
      <c r="G2341" s="1"/>
    </row>
    <row r="2342" spans="7:7" x14ac:dyDescent="0.35">
      <c r="G2342" s="1"/>
    </row>
    <row r="2343" spans="7:7" x14ac:dyDescent="0.35">
      <c r="G2343" s="1"/>
    </row>
    <row r="2344" spans="7:7" x14ac:dyDescent="0.35">
      <c r="G2344" s="1"/>
    </row>
    <row r="2345" spans="7:7" x14ac:dyDescent="0.35">
      <c r="G2345" s="1"/>
    </row>
    <row r="2346" spans="7:7" x14ac:dyDescent="0.35">
      <c r="G2346" s="1"/>
    </row>
    <row r="2347" spans="7:7" x14ac:dyDescent="0.35">
      <c r="G2347" s="1"/>
    </row>
    <row r="2348" spans="7:7" x14ac:dyDescent="0.35">
      <c r="G2348" s="1"/>
    </row>
    <row r="2349" spans="7:7" x14ac:dyDescent="0.35">
      <c r="G2349" s="1"/>
    </row>
    <row r="2350" spans="7:7" x14ac:dyDescent="0.35">
      <c r="G2350" s="1"/>
    </row>
    <row r="2351" spans="7:7" x14ac:dyDescent="0.35">
      <c r="G2351" s="1"/>
    </row>
    <row r="2352" spans="7:7" x14ac:dyDescent="0.35">
      <c r="G2352" s="1"/>
    </row>
    <row r="2353" spans="7:7" x14ac:dyDescent="0.35">
      <c r="G2353" s="1"/>
    </row>
    <row r="2354" spans="7:7" x14ac:dyDescent="0.35">
      <c r="G2354" s="1"/>
    </row>
    <row r="2355" spans="7:7" x14ac:dyDescent="0.35">
      <c r="G2355" s="1"/>
    </row>
    <row r="2356" spans="7:7" x14ac:dyDescent="0.35">
      <c r="G2356" s="1"/>
    </row>
    <row r="2357" spans="7:7" x14ac:dyDescent="0.35">
      <c r="G2357" s="1"/>
    </row>
    <row r="2358" spans="7:7" x14ac:dyDescent="0.35">
      <c r="G2358" s="1"/>
    </row>
    <row r="2359" spans="7:7" x14ac:dyDescent="0.35">
      <c r="G2359" s="1"/>
    </row>
    <row r="2360" spans="7:7" x14ac:dyDescent="0.35">
      <c r="G2360" s="1"/>
    </row>
    <row r="2361" spans="7:7" x14ac:dyDescent="0.35">
      <c r="G2361" s="1"/>
    </row>
    <row r="2362" spans="7:7" x14ac:dyDescent="0.35">
      <c r="G2362" s="1"/>
    </row>
    <row r="2363" spans="7:7" x14ac:dyDescent="0.35">
      <c r="G2363" s="1"/>
    </row>
    <row r="2364" spans="7:7" x14ac:dyDescent="0.35">
      <c r="G2364" s="1"/>
    </row>
    <row r="2365" spans="7:7" x14ac:dyDescent="0.35">
      <c r="G2365" s="1"/>
    </row>
    <row r="2366" spans="7:7" x14ac:dyDescent="0.35">
      <c r="G2366" s="1"/>
    </row>
    <row r="2367" spans="7:7" x14ac:dyDescent="0.35">
      <c r="G2367" s="1"/>
    </row>
    <row r="2368" spans="7:7" x14ac:dyDescent="0.35">
      <c r="G2368" s="1"/>
    </row>
    <row r="2369" spans="7:7" x14ac:dyDescent="0.35">
      <c r="G2369" s="1"/>
    </row>
    <row r="2370" spans="7:7" x14ac:dyDescent="0.35">
      <c r="G2370" s="1"/>
    </row>
    <row r="2371" spans="7:7" x14ac:dyDescent="0.35">
      <c r="G2371" s="1"/>
    </row>
    <row r="2372" spans="7:7" x14ac:dyDescent="0.35">
      <c r="G2372" s="1"/>
    </row>
    <row r="2373" spans="7:7" x14ac:dyDescent="0.35">
      <c r="G2373" s="1"/>
    </row>
    <row r="2374" spans="7:7" x14ac:dyDescent="0.35">
      <c r="G2374" s="1"/>
    </row>
    <row r="2375" spans="7:7" x14ac:dyDescent="0.35">
      <c r="G2375" s="1"/>
    </row>
    <row r="2376" spans="7:7" x14ac:dyDescent="0.35">
      <c r="G2376" s="1"/>
    </row>
    <row r="2377" spans="7:7" x14ac:dyDescent="0.35">
      <c r="G2377" s="1"/>
    </row>
    <row r="2378" spans="7:7" x14ac:dyDescent="0.35">
      <c r="G2378" s="1"/>
    </row>
    <row r="2379" spans="7:7" x14ac:dyDescent="0.35">
      <c r="G2379" s="1"/>
    </row>
    <row r="2380" spans="7:7" x14ac:dyDescent="0.35">
      <c r="G2380" s="1"/>
    </row>
    <row r="2381" spans="7:7" x14ac:dyDescent="0.35">
      <c r="G2381" s="1"/>
    </row>
    <row r="2382" spans="7:7" x14ac:dyDescent="0.35">
      <c r="G2382" s="1"/>
    </row>
    <row r="2383" spans="7:7" x14ac:dyDescent="0.35">
      <c r="G2383" s="1"/>
    </row>
    <row r="2384" spans="7:7" x14ac:dyDescent="0.35">
      <c r="G2384" s="1"/>
    </row>
    <row r="2385" spans="7:7" x14ac:dyDescent="0.35">
      <c r="G2385" s="1"/>
    </row>
    <row r="2386" spans="7:7" x14ac:dyDescent="0.35">
      <c r="G2386" s="1"/>
    </row>
    <row r="2387" spans="7:7" x14ac:dyDescent="0.35">
      <c r="G2387" s="1"/>
    </row>
    <row r="2388" spans="7:7" x14ac:dyDescent="0.35">
      <c r="G2388" s="1"/>
    </row>
    <row r="2389" spans="7:7" x14ac:dyDescent="0.35">
      <c r="G2389" s="1"/>
    </row>
    <row r="2390" spans="7:7" x14ac:dyDescent="0.35">
      <c r="G2390" s="1"/>
    </row>
    <row r="2391" spans="7:7" x14ac:dyDescent="0.35">
      <c r="G2391" s="1"/>
    </row>
    <row r="2392" spans="7:7" x14ac:dyDescent="0.35">
      <c r="G2392" s="1"/>
    </row>
    <row r="2393" spans="7:7" x14ac:dyDescent="0.35">
      <c r="G2393" s="1"/>
    </row>
    <row r="2394" spans="7:7" x14ac:dyDescent="0.35">
      <c r="G2394" s="1"/>
    </row>
    <row r="2395" spans="7:7" x14ac:dyDescent="0.35">
      <c r="G2395" s="1"/>
    </row>
    <row r="2396" spans="7:7" x14ac:dyDescent="0.35">
      <c r="G2396" s="1"/>
    </row>
    <row r="2397" spans="7:7" x14ac:dyDescent="0.35">
      <c r="G2397" s="1"/>
    </row>
    <row r="2398" spans="7:7" x14ac:dyDescent="0.35">
      <c r="G2398" s="1"/>
    </row>
    <row r="2399" spans="7:7" x14ac:dyDescent="0.35">
      <c r="G2399" s="1"/>
    </row>
    <row r="2400" spans="7:7" x14ac:dyDescent="0.35">
      <c r="G2400" s="1"/>
    </row>
    <row r="2401" spans="7:7" x14ac:dyDescent="0.35">
      <c r="G2401" s="1"/>
    </row>
    <row r="2402" spans="7:7" x14ac:dyDescent="0.35">
      <c r="G2402" s="1"/>
    </row>
    <row r="2403" spans="7:7" x14ac:dyDescent="0.35">
      <c r="G2403" s="1"/>
    </row>
    <row r="2404" spans="7:7" x14ac:dyDescent="0.35">
      <c r="G2404" s="1"/>
    </row>
    <row r="2405" spans="7:7" x14ac:dyDescent="0.35">
      <c r="G2405" s="1"/>
    </row>
    <row r="2406" spans="7:7" x14ac:dyDescent="0.35">
      <c r="G2406" s="1"/>
    </row>
    <row r="2407" spans="7:7" x14ac:dyDescent="0.35">
      <c r="G2407" s="1"/>
    </row>
    <row r="2408" spans="7:7" x14ac:dyDescent="0.35">
      <c r="G2408" s="1"/>
    </row>
    <row r="2409" spans="7:7" x14ac:dyDescent="0.35">
      <c r="G2409" s="1"/>
    </row>
    <row r="2410" spans="7:7" x14ac:dyDescent="0.35">
      <c r="G2410" s="1"/>
    </row>
    <row r="2411" spans="7:7" x14ac:dyDescent="0.35">
      <c r="G2411" s="1"/>
    </row>
    <row r="2412" spans="7:7" x14ac:dyDescent="0.35">
      <c r="G2412" s="1"/>
    </row>
    <row r="2413" spans="7:7" x14ac:dyDescent="0.35">
      <c r="G2413" s="1"/>
    </row>
    <row r="2414" spans="7:7" x14ac:dyDescent="0.35">
      <c r="G2414" s="1"/>
    </row>
    <row r="2415" spans="7:7" x14ac:dyDescent="0.35">
      <c r="G2415" s="1"/>
    </row>
    <row r="2416" spans="7:7" x14ac:dyDescent="0.35">
      <c r="G2416" s="1"/>
    </row>
    <row r="2417" spans="7:7" x14ac:dyDescent="0.35">
      <c r="G2417" s="1"/>
    </row>
    <row r="2418" spans="7:7" x14ac:dyDescent="0.35">
      <c r="G2418" s="1"/>
    </row>
    <row r="2419" spans="7:7" x14ac:dyDescent="0.35">
      <c r="G2419" s="1"/>
    </row>
    <row r="2420" spans="7:7" x14ac:dyDescent="0.35">
      <c r="G2420" s="1"/>
    </row>
    <row r="2421" spans="7:7" x14ac:dyDescent="0.35">
      <c r="G2421" s="1"/>
    </row>
    <row r="2422" spans="7:7" x14ac:dyDescent="0.35">
      <c r="G2422" s="1"/>
    </row>
    <row r="2423" spans="7:7" x14ac:dyDescent="0.35">
      <c r="G2423" s="1"/>
    </row>
    <row r="2424" spans="7:7" x14ac:dyDescent="0.35">
      <c r="G2424" s="1"/>
    </row>
    <row r="2425" spans="7:7" x14ac:dyDescent="0.35">
      <c r="G2425" s="1"/>
    </row>
    <row r="2426" spans="7:7" x14ac:dyDescent="0.35">
      <c r="G2426" s="1"/>
    </row>
    <row r="2427" spans="7:7" x14ac:dyDescent="0.35">
      <c r="G2427" s="1"/>
    </row>
    <row r="2428" spans="7:7" x14ac:dyDescent="0.35">
      <c r="G2428" s="1"/>
    </row>
    <row r="2429" spans="7:7" x14ac:dyDescent="0.35">
      <c r="G2429" s="1"/>
    </row>
    <row r="2430" spans="7:7" x14ac:dyDescent="0.35">
      <c r="G2430" s="1"/>
    </row>
    <row r="2431" spans="7:7" x14ac:dyDescent="0.35">
      <c r="G2431" s="1"/>
    </row>
    <row r="2432" spans="7:7" x14ac:dyDescent="0.35">
      <c r="G2432" s="1"/>
    </row>
    <row r="2433" spans="7:7" x14ac:dyDescent="0.35">
      <c r="G2433" s="1"/>
    </row>
    <row r="2434" spans="7:7" x14ac:dyDescent="0.35">
      <c r="G2434" s="1"/>
    </row>
    <row r="2435" spans="7:7" x14ac:dyDescent="0.35">
      <c r="G2435" s="1"/>
    </row>
    <row r="2436" spans="7:7" x14ac:dyDescent="0.35">
      <c r="G2436" s="1"/>
    </row>
    <row r="2437" spans="7:7" x14ac:dyDescent="0.35">
      <c r="G2437" s="1"/>
    </row>
    <row r="2438" spans="7:7" x14ac:dyDescent="0.35">
      <c r="G2438" s="1"/>
    </row>
    <row r="2439" spans="7:7" x14ac:dyDescent="0.35">
      <c r="G2439" s="1"/>
    </row>
    <row r="2440" spans="7:7" x14ac:dyDescent="0.35">
      <c r="G2440" s="1"/>
    </row>
    <row r="2441" spans="7:7" x14ac:dyDescent="0.35">
      <c r="G2441" s="1"/>
    </row>
    <row r="2442" spans="7:7" x14ac:dyDescent="0.35">
      <c r="G2442" s="1"/>
    </row>
    <row r="2443" spans="7:7" x14ac:dyDescent="0.35">
      <c r="G2443" s="1"/>
    </row>
    <row r="2444" spans="7:7" x14ac:dyDescent="0.35">
      <c r="G2444" s="1"/>
    </row>
    <row r="2445" spans="7:7" x14ac:dyDescent="0.35">
      <c r="G2445" s="1"/>
    </row>
    <row r="2446" spans="7:7" x14ac:dyDescent="0.35">
      <c r="G2446" s="1"/>
    </row>
    <row r="2447" spans="7:7" x14ac:dyDescent="0.35">
      <c r="G2447" s="1"/>
    </row>
    <row r="2448" spans="7:7" x14ac:dyDescent="0.35">
      <c r="G2448" s="1"/>
    </row>
    <row r="2449" spans="7:7" x14ac:dyDescent="0.35">
      <c r="G2449" s="1"/>
    </row>
    <row r="2450" spans="7:7" x14ac:dyDescent="0.35">
      <c r="G2450" s="1"/>
    </row>
    <row r="2451" spans="7:7" x14ac:dyDescent="0.35">
      <c r="G2451" s="1"/>
    </row>
    <row r="2452" spans="7:7" x14ac:dyDescent="0.35">
      <c r="G2452" s="1"/>
    </row>
    <row r="2453" spans="7:7" x14ac:dyDescent="0.35">
      <c r="G2453" s="1"/>
    </row>
    <row r="2454" spans="7:7" x14ac:dyDescent="0.35">
      <c r="G2454" s="1"/>
    </row>
    <row r="2455" spans="7:7" x14ac:dyDescent="0.35">
      <c r="G2455" s="1"/>
    </row>
    <row r="2456" spans="7:7" x14ac:dyDescent="0.35">
      <c r="G2456" s="1"/>
    </row>
    <row r="2457" spans="7:7" x14ac:dyDescent="0.35">
      <c r="G2457" s="1"/>
    </row>
    <row r="2458" spans="7:7" x14ac:dyDescent="0.35">
      <c r="G2458" s="1"/>
    </row>
    <row r="2459" spans="7:7" x14ac:dyDescent="0.35">
      <c r="G2459" s="1"/>
    </row>
    <row r="2460" spans="7:7" x14ac:dyDescent="0.35">
      <c r="G2460" s="1"/>
    </row>
    <row r="2461" spans="7:7" x14ac:dyDescent="0.35">
      <c r="G2461" s="1"/>
    </row>
    <row r="2462" spans="7:7" x14ac:dyDescent="0.35">
      <c r="G2462" s="1"/>
    </row>
    <row r="2463" spans="7:7" x14ac:dyDescent="0.35">
      <c r="G2463" s="1"/>
    </row>
    <row r="2464" spans="7:7" x14ac:dyDescent="0.35">
      <c r="G2464" s="1"/>
    </row>
    <row r="2465" spans="7:7" x14ac:dyDescent="0.35">
      <c r="G2465" s="1"/>
    </row>
    <row r="2466" spans="7:7" x14ac:dyDescent="0.35">
      <c r="G2466" s="1"/>
    </row>
    <row r="2467" spans="7:7" x14ac:dyDescent="0.35">
      <c r="G2467" s="1"/>
    </row>
    <row r="2468" spans="7:7" x14ac:dyDescent="0.35">
      <c r="G2468" s="1"/>
    </row>
    <row r="2469" spans="7:7" x14ac:dyDescent="0.35">
      <c r="G2469" s="1"/>
    </row>
    <row r="2470" spans="7:7" x14ac:dyDescent="0.35">
      <c r="G2470" s="1"/>
    </row>
    <row r="2471" spans="7:7" x14ac:dyDescent="0.35">
      <c r="G2471" s="1"/>
    </row>
    <row r="2472" spans="7:7" x14ac:dyDescent="0.35">
      <c r="G2472" s="1"/>
    </row>
    <row r="2473" spans="7:7" x14ac:dyDescent="0.35">
      <c r="G2473" s="1"/>
    </row>
    <row r="2474" spans="7:7" x14ac:dyDescent="0.35">
      <c r="G2474" s="1"/>
    </row>
    <row r="2475" spans="7:7" x14ac:dyDescent="0.35">
      <c r="G2475" s="1"/>
    </row>
    <row r="2476" spans="7:7" x14ac:dyDescent="0.35">
      <c r="G2476" s="1"/>
    </row>
    <row r="2477" spans="7:7" x14ac:dyDescent="0.35">
      <c r="G2477" s="1"/>
    </row>
    <row r="2478" spans="7:7" x14ac:dyDescent="0.35">
      <c r="G2478" s="1"/>
    </row>
    <row r="2479" spans="7:7" x14ac:dyDescent="0.35">
      <c r="G2479" s="1"/>
    </row>
    <row r="2480" spans="7:7" x14ac:dyDescent="0.35">
      <c r="G2480" s="1"/>
    </row>
    <row r="2481" spans="7:7" x14ac:dyDescent="0.35">
      <c r="G2481" s="1"/>
    </row>
    <row r="2482" spans="7:7" x14ac:dyDescent="0.35">
      <c r="G2482" s="1"/>
    </row>
    <row r="2483" spans="7:7" x14ac:dyDescent="0.35">
      <c r="G2483" s="1"/>
    </row>
    <row r="2484" spans="7:7" x14ac:dyDescent="0.35">
      <c r="G2484" s="1"/>
    </row>
    <row r="2485" spans="7:7" x14ac:dyDescent="0.35">
      <c r="G2485" s="1"/>
    </row>
    <row r="2486" spans="7:7" x14ac:dyDescent="0.35">
      <c r="G2486" s="1"/>
    </row>
    <row r="2487" spans="7:7" x14ac:dyDescent="0.35">
      <c r="G2487" s="1"/>
    </row>
    <row r="2488" spans="7:7" x14ac:dyDescent="0.35">
      <c r="G2488" s="1"/>
    </row>
    <row r="2489" spans="7:7" x14ac:dyDescent="0.35">
      <c r="G2489" s="1"/>
    </row>
    <row r="2490" spans="7:7" x14ac:dyDescent="0.35">
      <c r="G2490" s="1"/>
    </row>
    <row r="2491" spans="7:7" x14ac:dyDescent="0.35">
      <c r="G2491" s="1"/>
    </row>
    <row r="2492" spans="7:7" x14ac:dyDescent="0.35">
      <c r="G2492" s="1"/>
    </row>
    <row r="2493" spans="7:7" x14ac:dyDescent="0.35">
      <c r="G2493" s="1"/>
    </row>
    <row r="2494" spans="7:7" x14ac:dyDescent="0.35">
      <c r="G2494" s="1"/>
    </row>
    <row r="2495" spans="7:7" x14ac:dyDescent="0.35">
      <c r="G2495" s="1"/>
    </row>
    <row r="2496" spans="7:7" x14ac:dyDescent="0.35">
      <c r="G2496" s="1"/>
    </row>
    <row r="2497" spans="7:7" x14ac:dyDescent="0.35">
      <c r="G2497" s="1"/>
    </row>
    <row r="2498" spans="7:7" x14ac:dyDescent="0.35">
      <c r="G2498" s="1"/>
    </row>
    <row r="2499" spans="7:7" x14ac:dyDescent="0.35">
      <c r="G2499" s="1"/>
    </row>
    <row r="2500" spans="7:7" x14ac:dyDescent="0.35">
      <c r="G2500" s="1"/>
    </row>
    <row r="2501" spans="7:7" x14ac:dyDescent="0.35">
      <c r="G2501" s="1"/>
    </row>
    <row r="2502" spans="7:7" x14ac:dyDescent="0.35">
      <c r="G2502" s="1"/>
    </row>
    <row r="2503" spans="7:7" x14ac:dyDescent="0.35">
      <c r="G2503" s="1"/>
    </row>
    <row r="2504" spans="7:7" x14ac:dyDescent="0.35">
      <c r="G2504" s="1"/>
    </row>
    <row r="2505" spans="7:7" x14ac:dyDescent="0.35">
      <c r="G2505" s="1"/>
    </row>
    <row r="2506" spans="7:7" x14ac:dyDescent="0.35">
      <c r="G2506" s="1"/>
    </row>
    <row r="2507" spans="7:7" x14ac:dyDescent="0.35">
      <c r="G2507" s="1"/>
    </row>
    <row r="2508" spans="7:7" x14ac:dyDescent="0.35">
      <c r="G2508" s="1"/>
    </row>
    <row r="2509" spans="7:7" x14ac:dyDescent="0.35">
      <c r="G2509" s="1"/>
    </row>
    <row r="2510" spans="7:7" x14ac:dyDescent="0.35">
      <c r="G2510" s="1"/>
    </row>
    <row r="2511" spans="7:7" x14ac:dyDescent="0.35">
      <c r="G2511" s="1"/>
    </row>
    <row r="2512" spans="7:7" x14ac:dyDescent="0.35">
      <c r="G2512" s="1"/>
    </row>
    <row r="2513" spans="7:7" x14ac:dyDescent="0.35">
      <c r="G2513" s="1"/>
    </row>
    <row r="2514" spans="7:7" x14ac:dyDescent="0.35">
      <c r="G2514" s="1"/>
    </row>
    <row r="2515" spans="7:7" x14ac:dyDescent="0.35">
      <c r="G2515" s="1"/>
    </row>
    <row r="2516" spans="7:7" x14ac:dyDescent="0.35">
      <c r="G2516" s="1"/>
    </row>
    <row r="2517" spans="7:7" x14ac:dyDescent="0.35">
      <c r="G2517" s="1"/>
    </row>
  </sheetData>
  <dataConsolidate/>
  <dataValidations count="2">
    <dataValidation type="list" allowBlank="1" showInputMessage="1" showErrorMessage="1" sqref="N102:N1048576 O28:O1048576" xr:uid="{A9056878-C12B-47D5-B7D6-655C95958C6F}">
      <formula1>#REF!</formula1>
    </dataValidation>
    <dataValidation type="list" allowBlank="1" showInputMessage="1" showErrorMessage="1" sqref="J102:J1048576" xr:uid="{B82A0C91-E69E-4F10-A6B2-482E18DCC899}">
      <formula1>$B$3:$B$335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809AD0B-5414-4484-A6F9-2785B3EB3F19}">
          <x14:formula1>
            <xm:f>Sheet1!$B$1:$B$10</xm:f>
          </x14:formula1>
          <xm:sqref>C3:C30</xm:sqref>
        </x14:dataValidation>
        <x14:dataValidation type="list" allowBlank="1" showInputMessage="1" showErrorMessage="1" xr:uid="{780BE8C0-84E8-4003-A9DC-0358291300B3}">
          <x14:formula1>
            <xm:f>Sheet1!$C$1:$C$6</xm:f>
          </x14:formula1>
          <xm:sqref>E3:E95</xm:sqref>
        </x14:dataValidation>
        <x14:dataValidation type="list" allowBlank="1" showInputMessage="1" showErrorMessage="1" xr:uid="{2AF4A288-323A-4C65-86B7-C57A3B0D7C16}">
          <x14:formula1>
            <xm:f>Sheet1!$D$1:$D$11</xm:f>
          </x14:formula1>
          <xm:sqref>F3:F47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E3E631-4983-40A0-817D-20AD3EE1B7AD}"/>
</file>

<file path=customXml/itemProps2.xml><?xml version="1.0" encoding="utf-8"?>
<ds:datastoreItem xmlns:ds="http://schemas.openxmlformats.org/officeDocument/2006/customXml" ds:itemID="{4FF50A5D-A048-4B30-9DB1-0517E0B04B8C}">
  <ds:schemaRefs>
    <ds:schemaRef ds:uri="http://purl.org/dc/elements/1.1/"/>
    <ds:schemaRef ds:uri="5218c9bb-41e6-42cc-8113-671cb209b5e5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07dac4f7-f857-41aa-9c8b-e1b3799494f4"/>
    <ds:schemaRef ds:uri="http://schemas.microsoft.com/office/2006/metadata/properties"/>
    <ds:schemaRef ds:uri="http://purl.org/dc/dcmitype/"/>
    <ds:schemaRef ds:uri="http://schemas.microsoft.com/office/infopath/2007/PartnerControls"/>
    <ds:schemaRef ds:uri="d1583c34-73a0-4f2f-ba6b-1ac8359f2b78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Mod List</vt:lpstr>
      <vt:lpstr>Uni Wide Mod</vt:lpstr>
      <vt:lpstr>Module</vt:lpstr>
      <vt:lpstr>ASE</vt:lpstr>
      <vt:lpstr>DSC</vt:lpstr>
      <vt:lpstr>EPE</vt:lpstr>
      <vt:lpstr>EDE</vt:lpstr>
      <vt:lpstr>CVE</vt:lpstr>
      <vt:lpstr>MEC</vt:lpstr>
      <vt:lpstr>MSc</vt:lpstr>
      <vt:lpstr>RSE</vt:lpstr>
      <vt:lpstr>METS</vt:lpstr>
      <vt:lpstr>SBE</vt:lpstr>
      <vt:lpstr>MDME</vt:lpstr>
      <vt:lpstr>NAME</vt:lpstr>
      <vt:lpstr>ENG</vt:lpstr>
      <vt:lpstr>CSM</vt:lpstr>
      <vt:lpstr>ESE</vt:lpstr>
      <vt:lpstr>Sheet1</vt:lpstr>
      <vt:lpstr>Sample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Tay Chia Ling</cp:lastModifiedBy>
  <cp:revision/>
  <dcterms:created xsi:type="dcterms:W3CDTF">2018-04-26T12:16:54Z</dcterms:created>
  <dcterms:modified xsi:type="dcterms:W3CDTF">2026-01-14T09:49:31Z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_dlc_DocIdItemGuid">
    <vt:lpwstr>a5343907-c87b-4bb9-8cc1-64f8521690e2</vt:lpwstr>
  </property>
  <property fmtid="{D5CDD505-2E9C-101B-9397-08002B2CF9AE}" pid="5" name="MSIP_Label_7766c061-8e16-473d-8aec-8fc5553e8a9b_Enabled">
    <vt:lpwstr>true</vt:lpwstr>
  </property>
  <property fmtid="{D5CDD505-2E9C-101B-9397-08002B2CF9AE}" pid="6" name="MSIP_Label_7766c061-8e16-473d-8aec-8fc5553e8a9b_SetDate">
    <vt:lpwstr>2025-01-15T02:04:58Z</vt:lpwstr>
  </property>
  <property fmtid="{D5CDD505-2E9C-101B-9397-08002B2CF9AE}" pid="7" name="MSIP_Label_7766c061-8e16-473d-8aec-8fc5553e8a9b_Method">
    <vt:lpwstr>Privileged</vt:lpwstr>
  </property>
  <property fmtid="{D5CDD505-2E9C-101B-9397-08002B2CF9AE}" pid="8" name="MSIP_Label_7766c061-8e16-473d-8aec-8fc5553e8a9b_Name">
    <vt:lpwstr>SIT Internal</vt:lpwstr>
  </property>
  <property fmtid="{D5CDD505-2E9C-101B-9397-08002B2CF9AE}" pid="9" name="MSIP_Label_7766c061-8e16-473d-8aec-8fc5553e8a9b_SiteId">
    <vt:lpwstr>64991f7f-44d6-4d8c-9cd4-7862e8cb94c6</vt:lpwstr>
  </property>
  <property fmtid="{D5CDD505-2E9C-101B-9397-08002B2CF9AE}" pid="10" name="MSIP_Label_7766c061-8e16-473d-8aec-8fc5553e8a9b_ActionId">
    <vt:lpwstr>01706b05-0fba-4794-a552-2968102170d7</vt:lpwstr>
  </property>
  <property fmtid="{D5CDD505-2E9C-101B-9397-08002B2CF9AE}" pid="11" name="MSIP_Label_7766c061-8e16-473d-8aec-8fc5553e8a9b_ContentBits">
    <vt:lpwstr>1</vt:lpwstr>
  </property>
</Properties>
</file>